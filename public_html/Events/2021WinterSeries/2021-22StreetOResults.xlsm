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G:\My Drive\Orienteering\Street O 21-22\"/>
    </mc:Choice>
  </mc:AlternateContent>
  <xr:revisionPtr revIDLastSave="0" documentId="13_ncr:1_{ED4AACA7-0F7B-48E4-96BF-BAF2EBC00254}" xr6:coauthVersionLast="47" xr6:coauthVersionMax="47" xr10:uidLastSave="{00000000-0000-0000-0000-000000000000}"/>
  <bookViews>
    <workbookView xWindow="-110" yWindow="-110" windowWidth="19420" windowHeight="11020" firstSheet="2" activeTab="8" xr2:uid="{00000000-000D-0000-FFFF-FFFF00000000}"/>
  </bookViews>
  <sheets>
    <sheet name="Fetcham" sheetId="27" r:id="rId1"/>
    <sheet name="Worcester Park" sheetId="43" r:id="rId2"/>
    <sheet name="Ashtead" sheetId="45" r:id="rId3"/>
    <sheet name="Cheam" sheetId="44" r:id="rId4"/>
    <sheet name="Chessington" sheetId="48" r:id="rId5"/>
    <sheet name="Tattenham Corner" sheetId="47" r:id="rId6"/>
    <sheet name="TBC" sheetId="46" r:id="rId7"/>
    <sheet name="Dorking" sheetId="49" r:id="rId8"/>
    <sheet name="League Results" sheetId="21" r:id="rId9"/>
    <sheet name="League_Points" sheetId="5" r:id="rId10"/>
    <sheet name="ImportSheet" sheetId="51" r:id="rId11"/>
  </sheets>
  <definedNames>
    <definedName name="_xlnm._FilterDatabase" localSheetId="2" hidden="1">Ashtead!$B$3:$H$3</definedName>
    <definedName name="_xlnm._FilterDatabase" localSheetId="3" hidden="1">Cheam!$B$3:$H$50</definedName>
    <definedName name="_xlnm._FilterDatabase" localSheetId="4" hidden="1">Chessington!$B$3:$H$3</definedName>
    <definedName name="_xlnm._FilterDatabase" localSheetId="7" hidden="1">Dorking!$B$3:$H$3</definedName>
    <definedName name="_xlnm._FilterDatabase" localSheetId="0" hidden="1">Fetcham!$B$3:$H$3</definedName>
    <definedName name="_xlnm._FilterDatabase" localSheetId="8" hidden="1">'League Results'!$B$2:$Q$92</definedName>
    <definedName name="_xlnm._FilterDatabase" localSheetId="5" hidden="1">'Tattenham Corner'!$B$3:$H$3</definedName>
    <definedName name="_xlnm._FilterDatabase" localSheetId="6" hidden="1">TBC!$B$3:$H$3</definedName>
    <definedName name="_xlnm._FilterDatabase" localSheetId="1" hidden="1">'Worcester Park'!$B$3:$H$3</definedName>
    <definedName name="_xlnm.Print_Area" localSheetId="2">Ashtead!$B$2:$H$54</definedName>
    <definedName name="_xlnm.Print_Area" localSheetId="3">Cheam!$B$2:$H$54</definedName>
    <definedName name="_xlnm.Print_Area" localSheetId="4">Chessington!$B$2:$H$27</definedName>
    <definedName name="_xlnm.Print_Area" localSheetId="7">Dorking!$B$2:$H$60</definedName>
    <definedName name="_xlnm.Print_Area" localSheetId="0">Fetcham!$B$2:$H$45</definedName>
    <definedName name="_xlnm.Print_Area" localSheetId="8">'League Results'!$B$2:$Q$92</definedName>
    <definedName name="_xlnm.Print_Area" localSheetId="5">'Tattenham Corner'!$B$2:$H$31</definedName>
    <definedName name="_xlnm.Print_Area" localSheetId="6">TBC!$B$2:$H$31</definedName>
    <definedName name="_xlnm.Print_Area" localSheetId="1">'Worcester Park'!$B$2:$H$51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8" i="21" l="1"/>
  <c r="N91" i="21"/>
  <c r="C91" i="21" a="1"/>
  <c r="C91" i="21" s="1"/>
  <c r="N77" i="21"/>
  <c r="C77" i="21" a="1"/>
  <c r="C77" i="21" s="1"/>
  <c r="N75" i="21"/>
  <c r="C75" i="21" a="1"/>
  <c r="C75" i="21" s="1"/>
  <c r="C64" i="21" a="1"/>
  <c r="C64" i="21" s="1"/>
  <c r="N64" i="21"/>
  <c r="C67" i="21" a="1"/>
  <c r="C67" i="21" s="1"/>
  <c r="N67" i="21"/>
  <c r="C56" i="21" a="1"/>
  <c r="C56" i="21" s="1"/>
  <c r="N56" i="21"/>
  <c r="N55" i="21"/>
  <c r="C55" i="21" a="1"/>
  <c r="C55" i="21" s="1"/>
  <c r="N60" i="21"/>
  <c r="C60" i="21" a="1"/>
  <c r="C60" i="21" s="1"/>
  <c r="J5" i="44"/>
  <c r="J6" i="44"/>
  <c r="J7" i="44"/>
  <c r="J8" i="44"/>
  <c r="J9" i="44"/>
  <c r="J10" i="44"/>
  <c r="J11" i="44"/>
  <c r="J12" i="44"/>
  <c r="J13" i="44"/>
  <c r="J14" i="44"/>
  <c r="J15" i="44"/>
  <c r="J16" i="44"/>
  <c r="J17" i="44"/>
  <c r="J18" i="44"/>
  <c r="J19" i="44"/>
  <c r="J20" i="44"/>
  <c r="J21" i="44"/>
  <c r="J22" i="44"/>
  <c r="J23" i="44"/>
  <c r="J24" i="44"/>
  <c r="J25" i="44"/>
  <c r="J26" i="44"/>
  <c r="J27" i="44"/>
  <c r="J28" i="44"/>
  <c r="J29" i="44"/>
  <c r="J30" i="44"/>
  <c r="J31" i="44"/>
  <c r="J32" i="44"/>
  <c r="J33" i="44"/>
  <c r="J34" i="44"/>
  <c r="J35" i="44"/>
  <c r="J36" i="44"/>
  <c r="J37" i="44"/>
  <c r="J38" i="44"/>
  <c r="J39" i="44"/>
  <c r="J40" i="44"/>
  <c r="J41" i="44"/>
  <c r="J42" i="44"/>
  <c r="J43" i="44"/>
  <c r="J44" i="44"/>
  <c r="J45" i="44"/>
  <c r="J46" i="44"/>
  <c r="J47" i="44"/>
  <c r="J48" i="44"/>
  <c r="J49" i="44"/>
  <c r="J4" i="44"/>
  <c r="J41" i="27"/>
  <c r="J40" i="27"/>
  <c r="J39" i="27"/>
  <c r="J38" i="27"/>
  <c r="J37" i="27"/>
  <c r="J36" i="27"/>
  <c r="J35" i="27"/>
  <c r="J34" i="27"/>
  <c r="J33" i="27"/>
  <c r="J32" i="27"/>
  <c r="J31" i="27"/>
  <c r="J30" i="27"/>
  <c r="J29" i="27"/>
  <c r="J28" i="27"/>
  <c r="J27" i="27"/>
  <c r="J26" i="27"/>
  <c r="J25" i="27"/>
  <c r="J24" i="27"/>
  <c r="J23" i="27"/>
  <c r="J22" i="27"/>
  <c r="J21" i="27"/>
  <c r="J20" i="27"/>
  <c r="J19" i="27"/>
  <c r="J18" i="27"/>
  <c r="J17" i="27"/>
  <c r="J16" i="27"/>
  <c r="J15" i="27"/>
  <c r="J14" i="27"/>
  <c r="J13" i="27"/>
  <c r="J12" i="27"/>
  <c r="J11" i="27"/>
  <c r="J10" i="27"/>
  <c r="J9" i="27"/>
  <c r="J8" i="27"/>
  <c r="J7" i="27"/>
  <c r="J6" i="27"/>
  <c r="J5" i="27"/>
  <c r="J4" i="27"/>
  <c r="J5" i="43"/>
  <c r="J6" i="43"/>
  <c r="J7" i="43"/>
  <c r="J8" i="43"/>
  <c r="J9" i="43"/>
  <c r="J10" i="43"/>
  <c r="J11" i="43"/>
  <c r="J12" i="43"/>
  <c r="J13" i="43"/>
  <c r="J14" i="43"/>
  <c r="J15" i="43"/>
  <c r="J16" i="43"/>
  <c r="J17" i="43"/>
  <c r="J18" i="43"/>
  <c r="J19" i="43"/>
  <c r="J20" i="43"/>
  <c r="J21" i="43"/>
  <c r="J22" i="43"/>
  <c r="J23" i="43"/>
  <c r="J24" i="43"/>
  <c r="J25" i="43"/>
  <c r="J26" i="43"/>
  <c r="J27" i="43"/>
  <c r="J28" i="43"/>
  <c r="J29" i="43"/>
  <c r="J30" i="43"/>
  <c r="J31" i="43"/>
  <c r="J32" i="43"/>
  <c r="J33" i="43"/>
  <c r="J34" i="43"/>
  <c r="J35" i="43"/>
  <c r="J36" i="43"/>
  <c r="J37" i="43"/>
  <c r="J38" i="43"/>
  <c r="J39" i="43"/>
  <c r="J40" i="43"/>
  <c r="J41" i="43"/>
  <c r="J42" i="43"/>
  <c r="J43" i="43"/>
  <c r="J44" i="43"/>
  <c r="J45" i="43"/>
  <c r="J46" i="43"/>
  <c r="J47" i="43"/>
  <c r="J4" i="43"/>
  <c r="N5" i="21"/>
  <c r="N6" i="21"/>
  <c r="N26" i="21"/>
  <c r="N27" i="21"/>
  <c r="N7" i="21"/>
  <c r="N8" i="21"/>
  <c r="N20" i="21"/>
  <c r="N15" i="21"/>
  <c r="N23" i="21"/>
  <c r="N29" i="21"/>
  <c r="N21" i="21"/>
  <c r="N22" i="21"/>
  <c r="N24" i="21"/>
  <c r="N30" i="21"/>
  <c r="N12" i="21"/>
  <c r="N10" i="21"/>
  <c r="N28" i="21"/>
  <c r="N33" i="21"/>
  <c r="N31" i="21"/>
  <c r="N19" i="21"/>
  <c r="N37" i="21"/>
  <c r="N44" i="21"/>
  <c r="N32" i="21"/>
  <c r="N14" i="21"/>
  <c r="N46" i="21"/>
  <c r="N16" i="21"/>
  <c r="N13" i="21"/>
  <c r="N47" i="21"/>
  <c r="N34" i="21"/>
  <c r="N42" i="21"/>
  <c r="N51" i="21"/>
  <c r="N57" i="21"/>
  <c r="N58" i="21"/>
  <c r="N17" i="21"/>
  <c r="N50" i="21"/>
  <c r="N35" i="21"/>
  <c r="N66" i="21"/>
  <c r="N38" i="21"/>
  <c r="N70" i="21"/>
  <c r="N71" i="21"/>
  <c r="N73" i="21"/>
  <c r="N41" i="21"/>
  <c r="N76" i="21"/>
  <c r="N36" i="21"/>
  <c r="N40" i="21"/>
  <c r="N78" i="21"/>
  <c r="N39" i="21"/>
  <c r="N54" i="21"/>
  <c r="N69" i="21"/>
  <c r="N83" i="21"/>
  <c r="N49" i="21"/>
  <c r="N85" i="21"/>
  <c r="N86" i="21"/>
  <c r="N87" i="21"/>
  <c r="N79" i="21"/>
  <c r="N74" i="21"/>
  <c r="N88" i="21"/>
  <c r="N89" i="21"/>
  <c r="N90" i="21"/>
  <c r="N52" i="21"/>
  <c r="N53" i="21"/>
  <c r="N61" i="21"/>
  <c r="N62" i="21"/>
  <c r="N63" i="21"/>
  <c r="N65" i="21"/>
  <c r="N59" i="21"/>
  <c r="N72" i="21"/>
  <c r="N81" i="21"/>
  <c r="N82" i="21"/>
  <c r="N84" i="21"/>
  <c r="N80" i="21"/>
  <c r="N45" i="21"/>
  <c r="N48" i="21"/>
  <c r="C6" i="21" a="1"/>
  <c r="C6" i="21" s="1"/>
  <c r="C26" i="21" a="1"/>
  <c r="C26" i="21" s="1"/>
  <c r="C27" i="21" a="1"/>
  <c r="C27" i="21" s="1"/>
  <c r="C7" i="21" a="1"/>
  <c r="C7" i="21" s="1"/>
  <c r="C8" i="21" a="1"/>
  <c r="C8" i="21" s="1"/>
  <c r="C9" i="21" a="1"/>
  <c r="C9" i="21" s="1"/>
  <c r="C20" i="21" a="1"/>
  <c r="C20" i="21" s="1"/>
  <c r="C15" i="21" a="1"/>
  <c r="C15" i="21" s="1"/>
  <c r="C23" i="21" a="1"/>
  <c r="C23" i="21" s="1"/>
  <c r="C18" i="21" a="1"/>
  <c r="C18" i="21" s="1"/>
  <c r="C21" i="21" a="1"/>
  <c r="C21" i="21" s="1"/>
  <c r="C22" i="21" a="1"/>
  <c r="C22" i="21" s="1"/>
  <c r="C25" i="21" a="1"/>
  <c r="C25" i="21" s="1"/>
  <c r="C24" i="21" a="1"/>
  <c r="C24" i="21" s="1"/>
  <c r="C12" i="21" a="1"/>
  <c r="C12" i="21" s="1"/>
  <c r="C10" i="21" a="1"/>
  <c r="C10" i="21" s="1"/>
  <c r="C28" i="21" a="1"/>
  <c r="C28" i="21" s="1"/>
  <c r="C31" i="21" a="1"/>
  <c r="C31" i="21" s="1"/>
  <c r="C19" i="21" a="1"/>
  <c r="C19" i="21" s="1"/>
  <c r="C44" i="21" a="1"/>
  <c r="C44" i="21" s="1"/>
  <c r="C14" i="21" a="1"/>
  <c r="C14" i="21" s="1"/>
  <c r="C46" i="21" a="1"/>
  <c r="C46" i="21" s="1"/>
  <c r="C16" i="21" a="1"/>
  <c r="C16" i="21" s="1"/>
  <c r="C13" i="21" a="1"/>
  <c r="C13" i="21" s="1"/>
  <c r="C47" i="21" a="1"/>
  <c r="C47" i="21" s="1"/>
  <c r="C42" i="21" a="1"/>
  <c r="C42" i="21" s="1"/>
  <c r="C51" i="21" a="1"/>
  <c r="C51" i="21" s="1"/>
  <c r="C57" i="21" a="1"/>
  <c r="C57" i="21" s="1"/>
  <c r="C58" i="21" a="1"/>
  <c r="C58" i="21" s="1"/>
  <c r="C17" i="21" a="1"/>
  <c r="C17" i="21" s="1"/>
  <c r="C66" i="21" a="1"/>
  <c r="C66" i="21" s="1"/>
  <c r="C38" i="21" a="1"/>
  <c r="C38" i="21" s="1"/>
  <c r="C70" i="21" a="1"/>
  <c r="C70" i="21" s="1"/>
  <c r="C41" i="21" a="1"/>
  <c r="C41" i="21" s="1"/>
  <c r="C69" i="21" a="1"/>
  <c r="C69" i="21" s="1"/>
  <c r="C85" i="21" a="1"/>
  <c r="C85" i="21" s="1"/>
  <c r="C87" i="21" a="1"/>
  <c r="C87" i="21" s="1"/>
  <c r="C11" i="21" a="1"/>
  <c r="C11" i="21" s="1"/>
  <c r="C88" i="21" a="1"/>
  <c r="C88" i="21" s="1"/>
  <c r="C53" i="21" a="1"/>
  <c r="C53" i="21" s="1"/>
  <c r="C61" i="21" a="1"/>
  <c r="C61" i="21" s="1"/>
  <c r="C62" i="21" a="1"/>
  <c r="C62" i="21" s="1"/>
  <c r="C63" i="21" a="1"/>
  <c r="C63" i="21" s="1"/>
  <c r="C59" i="21" a="1"/>
  <c r="C59" i="21" s="1"/>
  <c r="C84" i="21" a="1"/>
  <c r="C84" i="21" s="1"/>
  <c r="C80" i="21" a="1"/>
  <c r="C80" i="21" s="1"/>
  <c r="C45" i="21" a="1"/>
  <c r="C45" i="21" s="1"/>
  <c r="C5" i="21" a="1"/>
  <c r="C5" i="21" s="1"/>
  <c r="E48" i="45"/>
  <c r="J49" i="45"/>
  <c r="E36" i="45"/>
  <c r="L68" i="21"/>
  <c r="M68" i="21"/>
  <c r="H68" i="21"/>
  <c r="J68" i="21"/>
  <c r="K68" i="21"/>
  <c r="F68" i="21"/>
  <c r="G68" i="21"/>
  <c r="I91" i="21"/>
  <c r="H77" i="21"/>
  <c r="G75" i="21"/>
  <c r="H91" i="21"/>
  <c r="F75" i="21"/>
  <c r="G77" i="21"/>
  <c r="G91" i="21"/>
  <c r="F77" i="21"/>
  <c r="M75" i="21"/>
  <c r="F91" i="21"/>
  <c r="M77" i="21"/>
  <c r="L75" i="21"/>
  <c r="M91" i="21"/>
  <c r="L77" i="21"/>
  <c r="K75" i="21"/>
  <c r="L91" i="21"/>
  <c r="J75" i="21"/>
  <c r="K77" i="21"/>
  <c r="K91" i="21"/>
  <c r="J77" i="21"/>
  <c r="J91" i="21"/>
  <c r="Q91" i="21" l="1" a="1"/>
  <c r="Q91" i="21" s="1"/>
  <c r="P91" i="21"/>
  <c r="J5" i="45"/>
  <c r="J6" i="45"/>
  <c r="J7" i="45"/>
  <c r="J8" i="45"/>
  <c r="J9" i="45"/>
  <c r="J10" i="45"/>
  <c r="J11" i="45"/>
  <c r="J12" i="45"/>
  <c r="J13" i="45"/>
  <c r="J14" i="45"/>
  <c r="J15" i="45"/>
  <c r="J16" i="45"/>
  <c r="J17" i="45"/>
  <c r="J18" i="45"/>
  <c r="J19" i="45"/>
  <c r="J20" i="45"/>
  <c r="J21" i="45"/>
  <c r="J22" i="45"/>
  <c r="J23" i="45"/>
  <c r="J24" i="45"/>
  <c r="J25" i="45"/>
  <c r="J26" i="45"/>
  <c r="J27" i="45"/>
  <c r="J28" i="45"/>
  <c r="J29" i="45"/>
  <c r="J30" i="45"/>
  <c r="J31" i="45"/>
  <c r="J32" i="45"/>
  <c r="J33" i="45"/>
  <c r="J34" i="45"/>
  <c r="J35" i="45"/>
  <c r="J36" i="45"/>
  <c r="J37" i="45"/>
  <c r="J38" i="45"/>
  <c r="J39" i="45"/>
  <c r="J40" i="45"/>
  <c r="J41" i="45"/>
  <c r="J42" i="45"/>
  <c r="J43" i="45"/>
  <c r="J44" i="45"/>
  <c r="J45" i="45"/>
  <c r="J46" i="45"/>
  <c r="J47" i="45"/>
  <c r="J48" i="45"/>
  <c r="J4" i="45"/>
  <c r="E19" i="43"/>
  <c r="E7" i="45"/>
  <c r="H75" i="21"/>
  <c r="G67" i="21"/>
  <c r="L56" i="21"/>
  <c r="H55" i="21"/>
  <c r="J60" i="21"/>
  <c r="I18" i="21"/>
  <c r="H61" i="21"/>
  <c r="J25" i="21"/>
  <c r="L47" i="21"/>
  <c r="F88" i="21"/>
  <c r="H58" i="21"/>
  <c r="J12" i="21"/>
  <c r="H7" i="21"/>
  <c r="J66" i="21"/>
  <c r="I46" i="21"/>
  <c r="J15" i="21"/>
  <c r="H13" i="21"/>
  <c r="G41" i="21"/>
  <c r="J76" i="21"/>
  <c r="K18" i="21"/>
  <c r="F22" i="21"/>
  <c r="G78" i="21"/>
  <c r="G61" i="21"/>
  <c r="G28" i="21"/>
  <c r="L44" i="21"/>
  <c r="J43" i="21"/>
  <c r="G12" i="21"/>
  <c r="M71" i="21"/>
  <c r="K65" i="21"/>
  <c r="H73" i="21"/>
  <c r="I85" i="21"/>
  <c r="M29" i="21"/>
  <c r="K76" i="21"/>
  <c r="H81" i="21"/>
  <c r="K38" i="21"/>
  <c r="G29" i="21"/>
  <c r="F81" i="21"/>
  <c r="L54" i="21"/>
  <c r="M19" i="21"/>
  <c r="K54" i="21"/>
  <c r="G57" i="21"/>
  <c r="I45" i="21"/>
  <c r="J36" i="21"/>
  <c r="M79" i="21"/>
  <c r="L50" i="21"/>
  <c r="H42" i="21"/>
  <c r="G20" i="21"/>
  <c r="J24" i="21"/>
  <c r="L70" i="21"/>
  <c r="K34" i="21"/>
  <c r="L83" i="21"/>
  <c r="J6" i="21"/>
  <c r="F66" i="21"/>
  <c r="J28" i="21"/>
  <c r="H9" i="21"/>
  <c r="F62" i="21"/>
  <c r="M10" i="21"/>
  <c r="G86" i="21"/>
  <c r="J38" i="21"/>
  <c r="H46" i="21"/>
  <c r="I73" i="21"/>
  <c r="M35" i="21"/>
  <c r="M37" i="21"/>
  <c r="H69" i="21"/>
  <c r="G54" i="21"/>
  <c r="J81" i="21"/>
  <c r="G63" i="21"/>
  <c r="F61" i="21"/>
  <c r="M6" i="21"/>
  <c r="J65" i="21"/>
  <c r="H51" i="21"/>
  <c r="G32" i="21"/>
  <c r="F37" i="21"/>
  <c r="M8" i="21"/>
  <c r="L18" i="21"/>
  <c r="L80" i="21"/>
  <c r="G50" i="21"/>
  <c r="J32" i="21"/>
  <c r="G17" i="21"/>
  <c r="F89" i="21"/>
  <c r="L72" i="21"/>
  <c r="M9" i="21"/>
  <c r="F50" i="21"/>
  <c r="M57" i="21"/>
  <c r="M34" i="21"/>
  <c r="F9" i="21"/>
  <c r="L74" i="21"/>
  <c r="G55" i="21"/>
  <c r="K64" i="21"/>
  <c r="G64" i="21"/>
  <c r="M56" i="21"/>
  <c r="J55" i="21"/>
  <c r="K60" i="21"/>
  <c r="J73" i="21"/>
  <c r="H47" i="21"/>
  <c r="L37" i="21"/>
  <c r="M78" i="21"/>
  <c r="G30" i="21"/>
  <c r="K62" i="21"/>
  <c r="K90" i="21"/>
  <c r="I26" i="21"/>
  <c r="M83" i="21"/>
  <c r="J7" i="21"/>
  <c r="K41" i="21"/>
  <c r="I53" i="21"/>
  <c r="H72" i="21"/>
  <c r="L90" i="21"/>
  <c r="L76" i="21"/>
  <c r="F48" i="21"/>
  <c r="J30" i="21"/>
  <c r="H27" i="21"/>
  <c r="H43" i="21"/>
  <c r="K42" i="21"/>
  <c r="L89" i="21"/>
  <c r="J40" i="21"/>
  <c r="J63" i="21"/>
  <c r="I29" i="21"/>
  <c r="J27" i="21"/>
  <c r="J33" i="21"/>
  <c r="F54" i="21"/>
  <c r="L85" i="21"/>
  <c r="G38" i="21"/>
  <c r="I72" i="21"/>
  <c r="G84" i="21"/>
  <c r="G46" i="21"/>
  <c r="L86" i="21"/>
  <c r="K22" i="21"/>
  <c r="H63" i="21"/>
  <c r="J53" i="21"/>
  <c r="L20" i="21"/>
  <c r="F32" i="21"/>
  <c r="F71" i="21"/>
  <c r="M44" i="21"/>
  <c r="H24" i="21"/>
  <c r="G72" i="21"/>
  <c r="F76" i="21"/>
  <c r="M16" i="21"/>
  <c r="L79" i="21"/>
  <c r="F80" i="21"/>
  <c r="F42" i="21"/>
  <c r="K20" i="21"/>
  <c r="K6" i="21"/>
  <c r="J17" i="21"/>
  <c r="G19" i="21"/>
  <c r="F74" i="21"/>
  <c r="K35" i="21"/>
  <c r="K19" i="21"/>
  <c r="I78" i="21"/>
  <c r="H52" i="21"/>
  <c r="M25" i="21"/>
  <c r="G5" i="21"/>
  <c r="K53" i="21"/>
  <c r="J10" i="21"/>
  <c r="I48" i="21"/>
  <c r="H8" i="21"/>
  <c r="G31" i="21"/>
  <c r="L24" i="21"/>
  <c r="L25" i="21"/>
  <c r="L34" i="21"/>
  <c r="H86" i="21"/>
  <c r="I33" i="21"/>
  <c r="K80" i="21"/>
  <c r="L15" i="21"/>
  <c r="F5" i="21"/>
  <c r="H41" i="21"/>
  <c r="G18" i="21"/>
  <c r="M31" i="21"/>
  <c r="H36" i="21"/>
  <c r="F83" i="21"/>
  <c r="G71" i="21"/>
  <c r="K44" i="21"/>
  <c r="F14" i="21"/>
  <c r="H28" i="21"/>
  <c r="G82" i="21"/>
  <c r="H50" i="21"/>
  <c r="L53" i="21"/>
  <c r="H60" i="21"/>
  <c r="K43" i="21"/>
  <c r="G62" i="21"/>
  <c r="I34" i="21"/>
  <c r="I76" i="21"/>
  <c r="H6" i="21"/>
  <c r="L49" i="21"/>
  <c r="H66" i="21"/>
  <c r="M87" i="21"/>
  <c r="K58" i="21"/>
  <c r="H29" i="21"/>
  <c r="L84" i="21"/>
  <c r="H59" i="21"/>
  <c r="M73" i="21"/>
  <c r="L67" i="21"/>
  <c r="H67" i="21"/>
  <c r="F56" i="21"/>
  <c r="K55" i="21"/>
  <c r="L60" i="21"/>
  <c r="K32" i="21"/>
  <c r="I82" i="21"/>
  <c r="F46" i="21"/>
  <c r="K16" i="21"/>
  <c r="H35" i="21"/>
  <c r="J52" i="21"/>
  <c r="L14" i="21"/>
  <c r="J57" i="21"/>
  <c r="K82" i="21"/>
  <c r="J47" i="21"/>
  <c r="F86" i="21"/>
  <c r="J11" i="21"/>
  <c r="J21" i="21"/>
  <c r="F73" i="21"/>
  <c r="K86" i="21"/>
  <c r="G42" i="21"/>
  <c r="K79" i="21"/>
  <c r="J51" i="21"/>
  <c r="H33" i="21"/>
  <c r="K8" i="21"/>
  <c r="F18" i="21"/>
  <c r="M43" i="21"/>
  <c r="F16" i="21"/>
  <c r="K31" i="21"/>
  <c r="J62" i="21"/>
  <c r="K26" i="21"/>
  <c r="G9" i="21"/>
  <c r="F43" i="21"/>
  <c r="I57" i="21"/>
  <c r="J44" i="21"/>
  <c r="H18" i="21"/>
  <c r="H88" i="21"/>
  <c r="L46" i="21"/>
  <c r="M27" i="21"/>
  <c r="L9" i="21"/>
  <c r="M86" i="21"/>
  <c r="H49" i="21"/>
  <c r="G43" i="21"/>
  <c r="K40" i="21"/>
  <c r="H5" i="21"/>
  <c r="J41" i="21"/>
  <c r="H15" i="21"/>
  <c r="G6" i="21"/>
  <c r="L5" i="21"/>
  <c r="M41" i="21"/>
  <c r="J88" i="21"/>
  <c r="M39" i="21"/>
  <c r="H21" i="21"/>
  <c r="L16" i="21"/>
  <c r="K10" i="21"/>
  <c r="H78" i="21"/>
  <c r="G24" i="21"/>
  <c r="I62" i="21"/>
  <c r="L78" i="21"/>
  <c r="J87" i="21"/>
  <c r="J29" i="21"/>
  <c r="L52" i="21"/>
  <c r="G48" i="21"/>
  <c r="J34" i="21"/>
  <c r="K45" i="21"/>
  <c r="I27" i="21"/>
  <c r="F28" i="21"/>
  <c r="M65" i="21"/>
  <c r="H14" i="21"/>
  <c r="F38" i="21"/>
  <c r="J61" i="21"/>
  <c r="F53" i="21"/>
  <c r="L48" i="21"/>
  <c r="M49" i="21"/>
  <c r="J90" i="21"/>
  <c r="G80" i="21"/>
  <c r="F65" i="21"/>
  <c r="M23" i="21"/>
  <c r="F44" i="21"/>
  <c r="F78" i="21"/>
  <c r="J45" i="21"/>
  <c r="K56" i="21"/>
  <c r="K83" i="21"/>
  <c r="G26" i="21"/>
  <c r="F69" i="21"/>
  <c r="J59" i="21"/>
  <c r="L10" i="21"/>
  <c r="L64" i="21"/>
  <c r="H64" i="21"/>
  <c r="G56" i="21"/>
  <c r="M55" i="21"/>
  <c r="M60" i="21"/>
  <c r="L69" i="21"/>
  <c r="J74" i="21"/>
  <c r="I58" i="21"/>
  <c r="F33" i="21"/>
  <c r="H12" i="21"/>
  <c r="L23" i="21"/>
  <c r="M22" i="21"/>
  <c r="M48" i="21"/>
  <c r="F6" i="21"/>
  <c r="F58" i="21"/>
  <c r="L73" i="21"/>
  <c r="L7" i="21"/>
  <c r="K57" i="21"/>
  <c r="K49" i="21"/>
  <c r="L66" i="21"/>
  <c r="H82" i="21"/>
  <c r="L32" i="21"/>
  <c r="K24" i="21"/>
  <c r="J39" i="21"/>
  <c r="L62" i="21"/>
  <c r="H34" i="21"/>
  <c r="H48" i="21"/>
  <c r="F8" i="21"/>
  <c r="L27" i="21"/>
  <c r="L21" i="21"/>
  <c r="L13" i="21"/>
  <c r="G59" i="21"/>
  <c r="K74" i="21"/>
  <c r="H83" i="21"/>
  <c r="K9" i="21"/>
  <c r="J70" i="21"/>
  <c r="H16" i="21"/>
  <c r="K88" i="21"/>
  <c r="L11" i="21"/>
  <c r="F63" i="21"/>
  <c r="I61" i="21"/>
  <c r="M7" i="21"/>
  <c r="H62" i="21"/>
  <c r="G88" i="21"/>
  <c r="M72" i="21"/>
  <c r="K46" i="21"/>
  <c r="J9" i="21"/>
  <c r="G53" i="21"/>
  <c r="F90" i="21"/>
  <c r="H85" i="21"/>
  <c r="F7" i="21"/>
  <c r="K84" i="21"/>
  <c r="K13" i="21"/>
  <c r="M24" i="21"/>
  <c r="L41" i="21"/>
  <c r="H37" i="21"/>
  <c r="H17" i="21"/>
  <c r="J37" i="21"/>
  <c r="M17" i="21"/>
  <c r="L26" i="21"/>
  <c r="L81" i="21"/>
  <c r="K5" i="21"/>
  <c r="H25" i="21"/>
  <c r="H38" i="21"/>
  <c r="M28" i="21"/>
  <c r="J71" i="21"/>
  <c r="J58" i="21"/>
  <c r="H19" i="21"/>
  <c r="H53" i="21"/>
  <c r="K7" i="21"/>
  <c r="G15" i="21"/>
  <c r="I70" i="21"/>
  <c r="I66" i="21"/>
  <c r="K50" i="21"/>
  <c r="M62" i="21"/>
  <c r="G33" i="21"/>
  <c r="L36" i="21"/>
  <c r="F55" i="21"/>
  <c r="J84" i="21"/>
  <c r="M61" i="21"/>
  <c r="F36" i="21"/>
  <c r="G74" i="21"/>
  <c r="F57" i="21"/>
  <c r="I84" i="21"/>
  <c r="G58" i="21"/>
  <c r="F11" i="21"/>
  <c r="G69" i="21"/>
  <c r="K17" i="21"/>
  <c r="M52" i="21"/>
  <c r="G13" i="21"/>
  <c r="G39" i="21"/>
  <c r="H90" i="21"/>
  <c r="L28" i="21"/>
  <c r="M54" i="21"/>
  <c r="G83" i="21"/>
  <c r="F85" i="21"/>
  <c r="M51" i="21"/>
  <c r="G25" i="21"/>
  <c r="G70" i="21"/>
  <c r="J35" i="21"/>
  <c r="L17" i="21"/>
  <c r="F26" i="21"/>
  <c r="J14" i="21"/>
  <c r="M67" i="21"/>
  <c r="J67" i="21"/>
  <c r="H56" i="21"/>
  <c r="L55" i="21"/>
  <c r="F87" i="21"/>
  <c r="M66" i="21"/>
  <c r="L8" i="21"/>
  <c r="G76" i="21"/>
  <c r="H65" i="21"/>
  <c r="F25" i="21"/>
  <c r="L82" i="21"/>
  <c r="K48" i="21"/>
  <c r="M82" i="21"/>
  <c r="H76" i="21"/>
  <c r="G49" i="21"/>
  <c r="F23" i="21"/>
  <c r="L63" i="21"/>
  <c r="L31" i="21"/>
  <c r="G89" i="21"/>
  <c r="F17" i="21"/>
  <c r="H57" i="21"/>
  <c r="M21" i="21"/>
  <c r="L71" i="21"/>
  <c r="J85" i="21"/>
  <c r="M18" i="21"/>
  <c r="M32" i="21"/>
  <c r="L29" i="21"/>
  <c r="I51" i="21"/>
  <c r="F12" i="21"/>
  <c r="L45" i="21"/>
  <c r="M30" i="21"/>
  <c r="H20" i="21"/>
  <c r="G90" i="21"/>
  <c r="J20" i="21"/>
  <c r="L51" i="21"/>
  <c r="K37" i="21"/>
  <c r="J79" i="21"/>
  <c r="M53" i="21"/>
  <c r="L38" i="21"/>
  <c r="H44" i="21"/>
  <c r="J5" i="21"/>
  <c r="G79" i="21"/>
  <c r="J18" i="21"/>
  <c r="K85" i="21"/>
  <c r="K78" i="21"/>
  <c r="L59" i="21"/>
  <c r="F13" i="21"/>
  <c r="H26" i="21"/>
  <c r="G10" i="21"/>
  <c r="J26" i="21"/>
  <c r="F41" i="21"/>
  <c r="M84" i="21"/>
  <c r="F51" i="21"/>
  <c r="M74" i="21"/>
  <c r="M42" i="21"/>
  <c r="J83" i="21"/>
  <c r="H30" i="21"/>
  <c r="F49" i="21"/>
  <c r="F20" i="21"/>
  <c r="L61" i="21"/>
  <c r="M76" i="21"/>
  <c r="K71" i="21"/>
  <c r="K14" i="21"/>
  <c r="K47" i="21"/>
  <c r="L22" i="21"/>
  <c r="K63" i="21"/>
  <c r="K12" i="21"/>
  <c r="J69" i="21"/>
  <c r="G35" i="21"/>
  <c r="F21" i="21"/>
  <c r="G81" i="21"/>
  <c r="J86" i="21"/>
  <c r="H74" i="21"/>
  <c r="G11" i="21"/>
  <c r="M69" i="21"/>
  <c r="H31" i="21"/>
  <c r="I52" i="21"/>
  <c r="K67" i="21"/>
  <c r="G45" i="21"/>
  <c r="M85" i="21"/>
  <c r="J22" i="21"/>
  <c r="F34" i="21"/>
  <c r="G16" i="21"/>
  <c r="G85" i="21"/>
  <c r="M5" i="21"/>
  <c r="K33" i="21"/>
  <c r="K28" i="21"/>
  <c r="I25" i="21"/>
  <c r="M88" i="21"/>
  <c r="L33" i="21"/>
  <c r="J42" i="21"/>
  <c r="H10" i="21"/>
  <c r="K21" i="21"/>
  <c r="K23" i="21"/>
  <c r="G44" i="21"/>
  <c r="G34" i="21"/>
  <c r="F19" i="21"/>
  <c r="H22" i="21"/>
  <c r="M26" i="21"/>
  <c r="H89" i="21"/>
  <c r="J13" i="21"/>
  <c r="I44" i="21"/>
  <c r="F31" i="21"/>
  <c r="F15" i="21"/>
  <c r="L87" i="21"/>
  <c r="I87" i="21"/>
  <c r="J78" i="21"/>
  <c r="F27" i="21"/>
  <c r="G73" i="21"/>
  <c r="M89" i="21"/>
  <c r="M80" i="21"/>
  <c r="M64" i="21"/>
  <c r="J64" i="21"/>
  <c r="J56" i="21"/>
  <c r="F60" i="21"/>
  <c r="G21" i="21"/>
  <c r="F29" i="21"/>
  <c r="L65" i="21"/>
  <c r="H84" i="21"/>
  <c r="G66" i="21"/>
  <c r="H70" i="21"/>
  <c r="M40" i="21"/>
  <c r="F40" i="21"/>
  <c r="J72" i="21"/>
  <c r="K51" i="21"/>
  <c r="K27" i="21"/>
  <c r="F82" i="21"/>
  <c r="M36" i="21"/>
  <c r="M15" i="21"/>
  <c r="K11" i="21"/>
  <c r="I63" i="21"/>
  <c r="K87" i="21"/>
  <c r="K81" i="21"/>
  <c r="M13" i="21"/>
  <c r="M47" i="21"/>
  <c r="L42" i="21"/>
  <c r="G37" i="21"/>
  <c r="I83" i="21"/>
  <c r="H87" i="21"/>
  <c r="H79" i="21"/>
  <c r="M59" i="21"/>
  <c r="M63" i="21"/>
  <c r="J50" i="21"/>
  <c r="K52" i="21"/>
  <c r="F35" i="21"/>
  <c r="M33" i="21"/>
  <c r="L39" i="21"/>
  <c r="K15" i="21"/>
  <c r="F30" i="21"/>
  <c r="K69" i="21"/>
  <c r="G52" i="21"/>
  <c r="K59" i="21"/>
  <c r="L57" i="21"/>
  <c r="J80" i="21"/>
  <c r="K73" i="21"/>
  <c r="M14" i="21"/>
  <c r="J19" i="21"/>
  <c r="I71" i="21"/>
  <c r="K61" i="21"/>
  <c r="H71" i="21"/>
  <c r="L58" i="21"/>
  <c r="K89" i="21"/>
  <c r="M81" i="21"/>
  <c r="I86" i="21"/>
  <c r="F39" i="21"/>
  <c r="L19" i="21"/>
  <c r="K70" i="21"/>
  <c r="J49" i="21"/>
  <c r="G23" i="21"/>
  <c r="F72" i="21"/>
  <c r="M11" i="21"/>
  <c r="M46" i="21"/>
  <c r="J46" i="21"/>
  <c r="G47" i="21"/>
  <c r="H39" i="21"/>
  <c r="J31" i="21"/>
  <c r="F70" i="21"/>
  <c r="L43" i="21"/>
  <c r="K66" i="21"/>
  <c r="I47" i="21"/>
  <c r="F45" i="21"/>
  <c r="H23" i="21"/>
  <c r="L6" i="21"/>
  <c r="J23" i="21"/>
  <c r="K36" i="21"/>
  <c r="M45" i="21"/>
  <c r="J54" i="21"/>
  <c r="L35" i="21"/>
  <c r="F67" i="21"/>
  <c r="G60" i="21"/>
  <c r="F84" i="21"/>
  <c r="H54" i="21"/>
  <c r="G27" i="21"/>
  <c r="G36" i="21"/>
  <c r="K39" i="21"/>
  <c r="F47" i="21"/>
  <c r="L30" i="21"/>
  <c r="I36" i="21"/>
  <c r="K72" i="21"/>
  <c r="M90" i="21"/>
  <c r="M50" i="21"/>
  <c r="F79" i="21"/>
  <c r="K30" i="21"/>
  <c r="J16" i="21"/>
  <c r="G40" i="21"/>
  <c r="G8" i="21"/>
  <c r="G14" i="21"/>
  <c r="L88" i="21"/>
  <c r="J82" i="21"/>
  <c r="F64" i="21"/>
  <c r="H80" i="21"/>
  <c r="H32" i="21"/>
  <c r="M70" i="21"/>
  <c r="F52" i="21"/>
  <c r="G22" i="21"/>
  <c r="G87" i="21"/>
  <c r="M38" i="21"/>
  <c r="K29" i="21"/>
  <c r="F24" i="21"/>
  <c r="G65" i="21"/>
  <c r="H11" i="21"/>
  <c r="H45" i="21"/>
  <c r="J8" i="21"/>
  <c r="L12" i="21"/>
  <c r="G51" i="21"/>
  <c r="H40" i="21"/>
  <c r="M12" i="21"/>
  <c r="J48" i="21"/>
  <c r="I80" i="21"/>
  <c r="J89" i="21"/>
  <c r="L40" i="21"/>
  <c r="M20" i="21"/>
  <c r="K25" i="21"/>
  <c r="I65" i="21"/>
  <c r="I59" i="21"/>
  <c r="M58" i="21"/>
  <c r="G7" i="21"/>
  <c r="F59" i="21"/>
  <c r="F10" i="21"/>
  <c r="N25" i="21" l="1"/>
  <c r="N18" i="21"/>
  <c r="E26" i="45"/>
  <c r="E27" i="45"/>
  <c r="E28" i="45"/>
  <c r="E29" i="45"/>
  <c r="E31" i="45"/>
  <c r="E32" i="45"/>
  <c r="E33" i="45"/>
  <c r="E34" i="45"/>
  <c r="E35" i="45"/>
  <c r="E30" i="45"/>
  <c r="E37" i="45"/>
  <c r="E38" i="45"/>
  <c r="E39" i="45"/>
  <c r="E40" i="45"/>
  <c r="E42" i="45"/>
  <c r="E43" i="45"/>
  <c r="E44" i="45"/>
  <c r="E45" i="45"/>
  <c r="E46" i="45"/>
  <c r="E47" i="45"/>
  <c r="E41" i="45"/>
  <c r="E49" i="45"/>
  <c r="E45" i="44" l="1"/>
  <c r="E41" i="44" l="1"/>
  <c r="E40" i="44"/>
  <c r="E39" i="44"/>
  <c r="E38" i="44"/>
  <c r="E37" i="44"/>
  <c r="E36" i="44"/>
  <c r="E35" i="44"/>
  <c r="E34" i="44"/>
  <c r="E33" i="44"/>
  <c r="E32" i="44"/>
  <c r="E31" i="44"/>
  <c r="E30" i="44"/>
  <c r="E28" i="44"/>
  <c r="E27" i="44"/>
  <c r="B2" i="49" l="1"/>
  <c r="B2" i="48"/>
  <c r="B2" i="47"/>
  <c r="B2" i="46"/>
  <c r="B2" i="45"/>
  <c r="E35" i="43"/>
  <c r="E11" i="43"/>
  <c r="E10" i="43"/>
  <c r="B2" i="44"/>
  <c r="B2" i="27"/>
  <c r="B2" i="43"/>
  <c r="E46" i="43"/>
  <c r="E17" i="43"/>
  <c r="E45" i="43"/>
  <c r="E44" i="43"/>
  <c r="E33" i="27" l="1"/>
  <c r="E29" i="27" l="1"/>
  <c r="E4" i="27"/>
  <c r="E5" i="27"/>
  <c r="E6" i="27"/>
  <c r="E7" i="27"/>
  <c r="J26" i="46" l="1"/>
  <c r="J56" i="49" l="1"/>
  <c r="J55" i="49"/>
  <c r="E55" i="49"/>
  <c r="J54" i="49"/>
  <c r="E54" i="49"/>
  <c r="J53" i="49"/>
  <c r="E53" i="49"/>
  <c r="J52" i="49"/>
  <c r="E52" i="49"/>
  <c r="J51" i="49"/>
  <c r="E51" i="49"/>
  <c r="J50" i="49"/>
  <c r="E50" i="49"/>
  <c r="J49" i="49"/>
  <c r="E49" i="49"/>
  <c r="J48" i="49"/>
  <c r="E48" i="49"/>
  <c r="J47" i="49"/>
  <c r="E47" i="49"/>
  <c r="J46" i="49"/>
  <c r="E46" i="49"/>
  <c r="J45" i="49"/>
  <c r="E45" i="49"/>
  <c r="J44" i="49"/>
  <c r="E44" i="49"/>
  <c r="J43" i="49"/>
  <c r="E43" i="49"/>
  <c r="J42" i="49"/>
  <c r="E42" i="49"/>
  <c r="J41" i="49"/>
  <c r="E41" i="49"/>
  <c r="J40" i="49"/>
  <c r="E40" i="49"/>
  <c r="J39" i="49"/>
  <c r="E39" i="49"/>
  <c r="J38" i="49"/>
  <c r="E38" i="49"/>
  <c r="J37" i="49"/>
  <c r="E37" i="49"/>
  <c r="J36" i="49"/>
  <c r="E36" i="49"/>
  <c r="J35" i="49"/>
  <c r="E35" i="49"/>
  <c r="J34" i="49"/>
  <c r="E34" i="49"/>
  <c r="J33" i="49"/>
  <c r="E33" i="49"/>
  <c r="J32" i="49"/>
  <c r="E32" i="49"/>
  <c r="J31" i="49"/>
  <c r="E31" i="49"/>
  <c r="J30" i="49"/>
  <c r="E30" i="49"/>
  <c r="J29" i="49"/>
  <c r="E29" i="49"/>
  <c r="J28" i="49"/>
  <c r="E28" i="49"/>
  <c r="J27" i="49"/>
  <c r="E27" i="49"/>
  <c r="J26" i="49"/>
  <c r="E26" i="49"/>
  <c r="J25" i="49"/>
  <c r="E25" i="49"/>
  <c r="J24" i="49"/>
  <c r="E24" i="49"/>
  <c r="J23" i="49"/>
  <c r="E23" i="49"/>
  <c r="J22" i="49"/>
  <c r="E22" i="49"/>
  <c r="J21" i="49"/>
  <c r="E21" i="49"/>
  <c r="J20" i="49"/>
  <c r="E20" i="49"/>
  <c r="J19" i="49"/>
  <c r="E19" i="49"/>
  <c r="J18" i="49"/>
  <c r="E18" i="49"/>
  <c r="J17" i="49"/>
  <c r="E17" i="49"/>
  <c r="J16" i="49"/>
  <c r="E16" i="49"/>
  <c r="J15" i="49"/>
  <c r="E15" i="49"/>
  <c r="J14" i="49"/>
  <c r="E14" i="49"/>
  <c r="J13" i="49"/>
  <c r="E13" i="49"/>
  <c r="J12" i="49"/>
  <c r="E12" i="49"/>
  <c r="J11" i="49"/>
  <c r="E11" i="49"/>
  <c r="J10" i="49"/>
  <c r="E10" i="49"/>
  <c r="J9" i="49"/>
  <c r="E9" i="49"/>
  <c r="J8" i="49"/>
  <c r="E8" i="49"/>
  <c r="J7" i="49"/>
  <c r="E7" i="49"/>
  <c r="J6" i="49"/>
  <c r="E6" i="49"/>
  <c r="J5" i="49"/>
  <c r="E5" i="49"/>
  <c r="F32" i="49" s="1" a="1"/>
  <c r="F32" i="49" s="1"/>
  <c r="J4" i="49"/>
  <c r="E4" i="49"/>
  <c r="J23" i="48"/>
  <c r="J22" i="48"/>
  <c r="E22" i="48"/>
  <c r="J21" i="48"/>
  <c r="E21" i="48"/>
  <c r="J20" i="48"/>
  <c r="E20" i="48"/>
  <c r="J19" i="48"/>
  <c r="E19" i="48"/>
  <c r="J18" i="48"/>
  <c r="E18" i="48"/>
  <c r="J17" i="48"/>
  <c r="E17" i="48"/>
  <c r="J16" i="48"/>
  <c r="E16" i="48"/>
  <c r="J15" i="48"/>
  <c r="E15" i="48"/>
  <c r="J14" i="48"/>
  <c r="E14" i="48"/>
  <c r="J13" i="48"/>
  <c r="E13" i="48"/>
  <c r="J12" i="48"/>
  <c r="E12" i="48"/>
  <c r="J11" i="48"/>
  <c r="E11" i="48"/>
  <c r="J10" i="48"/>
  <c r="E10" i="48"/>
  <c r="J9" i="48"/>
  <c r="E9" i="48"/>
  <c r="J8" i="48"/>
  <c r="E8" i="48"/>
  <c r="J7" i="48"/>
  <c r="E7" i="48"/>
  <c r="J6" i="48"/>
  <c r="E6" i="48"/>
  <c r="J5" i="48"/>
  <c r="E5" i="48"/>
  <c r="J4" i="48"/>
  <c r="E4" i="48"/>
  <c r="J27" i="47"/>
  <c r="J26" i="47"/>
  <c r="E21" i="47"/>
  <c r="E5" i="47"/>
  <c r="E22" i="47"/>
  <c r="E9" i="47"/>
  <c r="E20" i="47"/>
  <c r="E4" i="47"/>
  <c r="E11" i="47"/>
  <c r="J25" i="47"/>
  <c r="J24" i="47"/>
  <c r="J23" i="47"/>
  <c r="J22" i="47"/>
  <c r="E24" i="47"/>
  <c r="J21" i="47"/>
  <c r="J20" i="47"/>
  <c r="E23" i="47"/>
  <c r="J19" i="47"/>
  <c r="E16" i="47"/>
  <c r="J18" i="47"/>
  <c r="E10" i="47"/>
  <c r="J17" i="47"/>
  <c r="E19" i="47"/>
  <c r="E25" i="47"/>
  <c r="E13" i="47"/>
  <c r="J16" i="47"/>
  <c r="J15" i="47"/>
  <c r="J14" i="47"/>
  <c r="J13" i="47"/>
  <c r="E15" i="47"/>
  <c r="J12" i="47"/>
  <c r="E17" i="47"/>
  <c r="J11" i="47"/>
  <c r="E18" i="47"/>
  <c r="J10" i="47"/>
  <c r="E12" i="47"/>
  <c r="J9" i="47"/>
  <c r="E6" i="47"/>
  <c r="J8" i="47"/>
  <c r="E14" i="47"/>
  <c r="J7" i="47"/>
  <c r="E7" i="47"/>
  <c r="J6" i="47"/>
  <c r="J5" i="47"/>
  <c r="J4" i="47"/>
  <c r="E8" i="47"/>
  <c r="J27" i="46"/>
  <c r="E25" i="46"/>
  <c r="E15" i="46"/>
  <c r="E11" i="46"/>
  <c r="E16" i="46"/>
  <c r="E14" i="46"/>
  <c r="E6" i="46"/>
  <c r="E9" i="46"/>
  <c r="E18" i="46"/>
  <c r="E8" i="46"/>
  <c r="E22" i="46"/>
  <c r="E17" i="46"/>
  <c r="E19" i="46"/>
  <c r="E12" i="46"/>
  <c r="E10" i="46"/>
  <c r="E13" i="46"/>
  <c r="E21" i="46"/>
  <c r="J25" i="46"/>
  <c r="J24" i="46"/>
  <c r="J23" i="46"/>
  <c r="E24" i="46"/>
  <c r="J22" i="46"/>
  <c r="J21" i="46"/>
  <c r="J20" i="46"/>
  <c r="J19" i="46"/>
  <c r="E5" i="46"/>
  <c r="J18" i="46"/>
  <c r="J17" i="46"/>
  <c r="J16" i="46"/>
  <c r="J15" i="46"/>
  <c r="J14" i="46"/>
  <c r="J13" i="46"/>
  <c r="J12" i="46"/>
  <c r="J11" i="46"/>
  <c r="E4" i="46"/>
  <c r="J10" i="46"/>
  <c r="E23" i="46"/>
  <c r="J9" i="46"/>
  <c r="E7" i="46"/>
  <c r="J8" i="46"/>
  <c r="J7" i="46"/>
  <c r="E20" i="46"/>
  <c r="J6" i="46"/>
  <c r="J5" i="46"/>
  <c r="J4" i="46"/>
  <c r="J50" i="45"/>
  <c r="E25" i="45"/>
  <c r="E24" i="45"/>
  <c r="E23" i="45"/>
  <c r="E22" i="45"/>
  <c r="E21" i="45"/>
  <c r="E20" i="45"/>
  <c r="E19" i="45"/>
  <c r="E18" i="45"/>
  <c r="E17" i="45"/>
  <c r="E16" i="45"/>
  <c r="E15" i="45"/>
  <c r="E14" i="45"/>
  <c r="E13" i="45"/>
  <c r="E12" i="45"/>
  <c r="E11" i="45"/>
  <c r="E10" i="45"/>
  <c r="E9" i="45"/>
  <c r="E8" i="45"/>
  <c r="E6" i="45"/>
  <c r="E4" i="45"/>
  <c r="E5" i="45"/>
  <c r="J50" i="44"/>
  <c r="E49" i="44"/>
  <c r="E29" i="44"/>
  <c r="E44" i="44"/>
  <c r="E48" i="44"/>
  <c r="E47" i="44"/>
  <c r="E46" i="44"/>
  <c r="E43" i="44"/>
  <c r="E42" i="44"/>
  <c r="E26" i="44"/>
  <c r="E25" i="44"/>
  <c r="E24" i="44"/>
  <c r="E23" i="44"/>
  <c r="E22" i="44"/>
  <c r="E21" i="44"/>
  <c r="E20" i="44"/>
  <c r="E19" i="44"/>
  <c r="E18" i="44"/>
  <c r="E17" i="44"/>
  <c r="E16" i="44"/>
  <c r="E15" i="44"/>
  <c r="E14" i="44"/>
  <c r="E13" i="44"/>
  <c r="E12" i="44"/>
  <c r="E11" i="44"/>
  <c r="E10" i="44"/>
  <c r="E9" i="44"/>
  <c r="E8" i="44"/>
  <c r="E7" i="44"/>
  <c r="E6" i="44"/>
  <c r="E5" i="44"/>
  <c r="E4" i="44"/>
  <c r="E43" i="43"/>
  <c r="E42" i="43"/>
  <c r="E41" i="43"/>
  <c r="E40" i="43"/>
  <c r="E39" i="43"/>
  <c r="E38" i="43"/>
  <c r="E37" i="43"/>
  <c r="E36" i="43"/>
  <c r="E24" i="43"/>
  <c r="E34" i="43"/>
  <c r="E33" i="43"/>
  <c r="E32" i="43"/>
  <c r="E31" i="43"/>
  <c r="E30" i="43"/>
  <c r="E29" i="43"/>
  <c r="E28" i="43"/>
  <c r="E27" i="43"/>
  <c r="E26" i="43"/>
  <c r="E25" i="43"/>
  <c r="E23" i="43"/>
  <c r="E22" i="43"/>
  <c r="E21" i="43"/>
  <c r="E20" i="43"/>
  <c r="E18" i="43"/>
  <c r="E15" i="43"/>
  <c r="E16" i="43"/>
  <c r="E14" i="43"/>
  <c r="E13" i="43"/>
  <c r="E12" i="43"/>
  <c r="F19" i="43" s="1" a="1"/>
  <c r="E9" i="43"/>
  <c r="E8" i="43"/>
  <c r="E7" i="43"/>
  <c r="E6" i="43"/>
  <c r="E4" i="43"/>
  <c r="E5" i="43"/>
  <c r="E31" i="27"/>
  <c r="E30" i="27"/>
  <c r="E34" i="27"/>
  <c r="E28" i="27"/>
  <c r="E26" i="27"/>
  <c r="E25" i="27"/>
  <c r="E24" i="27"/>
  <c r="E23" i="27"/>
  <c r="E22" i="27"/>
  <c r="E21" i="27"/>
  <c r="E20" i="27"/>
  <c r="E19" i="27"/>
  <c r="E18" i="27"/>
  <c r="E17" i="27"/>
  <c r="E13" i="27"/>
  <c r="F36" i="45" l="1" a="1"/>
  <c r="F36" i="45" s="1"/>
  <c r="F48" i="45" a="1"/>
  <c r="F48" i="45" s="1"/>
  <c r="F6" i="45" a="1"/>
  <c r="F19" i="43"/>
  <c r="H19" i="43" s="1"/>
  <c r="F7" i="45" a="1"/>
  <c r="F7" i="45" s="1"/>
  <c r="F46" i="45" a="1"/>
  <c r="F26" i="45" a="1"/>
  <c r="F26" i="45" s="1"/>
  <c r="F44" i="45" a="1"/>
  <c r="F44" i="45" s="1"/>
  <c r="F47" i="45" a="1"/>
  <c r="F47" i="45" s="1"/>
  <c r="F29" i="45" a="1"/>
  <c r="F38" i="45" a="1"/>
  <c r="F30" i="45" a="1"/>
  <c r="F45" i="45" a="1"/>
  <c r="F45" i="45" s="1"/>
  <c r="F28" i="45" a="1"/>
  <c r="F28" i="45" s="1"/>
  <c r="F37" i="45" a="1"/>
  <c r="F37" i="45" s="1"/>
  <c r="F27" i="45" a="1"/>
  <c r="F27" i="45" s="1"/>
  <c r="F43" i="45" a="1"/>
  <c r="F43" i="45" s="1"/>
  <c r="F34" i="45" a="1"/>
  <c r="F34" i="45" s="1"/>
  <c r="F39" i="45" a="1"/>
  <c r="F39" i="45" s="1"/>
  <c r="F32" i="45" a="1"/>
  <c r="F32" i="45" s="1"/>
  <c r="F41" i="45" a="1"/>
  <c r="F41" i="45" s="1"/>
  <c r="F31" i="45" a="1"/>
  <c r="F31" i="45" s="1"/>
  <c r="F49" i="45" a="1"/>
  <c r="F49" i="45" s="1"/>
  <c r="F35" i="45" a="1"/>
  <c r="F35" i="45" s="1"/>
  <c r="F42" i="45" a="1"/>
  <c r="F42" i="45" s="1"/>
  <c r="F33" i="45" a="1"/>
  <c r="F33" i="45" s="1"/>
  <c r="F40" i="45" a="1"/>
  <c r="F40" i="45" s="1"/>
  <c r="F30" i="45"/>
  <c r="F38" i="45"/>
  <c r="F29" i="45"/>
  <c r="F46" i="45"/>
  <c r="F45" i="44" a="1"/>
  <c r="F45" i="44" s="1"/>
  <c r="F36" i="44" a="1"/>
  <c r="F36" i="44" s="1"/>
  <c r="F32" i="44" a="1"/>
  <c r="F32" i="44" s="1"/>
  <c r="F28" i="44" a="1"/>
  <c r="F27" i="44" a="1"/>
  <c r="F27" i="44" s="1"/>
  <c r="F31" i="44" a="1"/>
  <c r="F31" i="44" s="1"/>
  <c r="F41" i="44" a="1"/>
  <c r="F41" i="44" s="1"/>
  <c r="F35" i="44" a="1"/>
  <c r="F35" i="44" s="1"/>
  <c r="F30" i="44" a="1"/>
  <c r="F30" i="44" s="1"/>
  <c r="F40" i="44" a="1"/>
  <c r="F40" i="44" s="1"/>
  <c r="F33" i="44" a="1"/>
  <c r="F33" i="44" s="1"/>
  <c r="F34" i="44" a="1"/>
  <c r="F34" i="44" s="1"/>
  <c r="F37" i="44" a="1"/>
  <c r="F37" i="44" s="1"/>
  <c r="F38" i="44" a="1"/>
  <c r="F38" i="44" s="1"/>
  <c r="F39" i="44" a="1"/>
  <c r="F39" i="44" s="1"/>
  <c r="F28" i="44"/>
  <c r="F47" i="44" a="1"/>
  <c r="F47" i="44" s="1"/>
  <c r="G47" i="44" s="1"/>
  <c r="F4" i="48" a="1"/>
  <c r="F4" i="48" s="1"/>
  <c r="F9" i="49" a="1"/>
  <c r="F9" i="49" s="1"/>
  <c r="F11" i="49" a="1"/>
  <c r="F11" i="49" s="1"/>
  <c r="F13" i="49" a="1"/>
  <c r="F13" i="49" s="1"/>
  <c r="F15" i="49" a="1"/>
  <c r="F15" i="49" s="1"/>
  <c r="F17" i="49" a="1"/>
  <c r="F17" i="49" s="1"/>
  <c r="F19" i="49" a="1"/>
  <c r="F19" i="49" s="1"/>
  <c r="F21" i="49" a="1"/>
  <c r="F21" i="49" s="1"/>
  <c r="F23" i="49" a="1"/>
  <c r="F23" i="49" s="1"/>
  <c r="F25" i="49" a="1"/>
  <c r="F25" i="49" s="1"/>
  <c r="F29" i="49" a="1"/>
  <c r="F29" i="49" s="1"/>
  <c r="F8" i="48" a="1"/>
  <c r="F8" i="48" s="1"/>
  <c r="H8" i="48" s="1"/>
  <c r="F15" i="48" a="1"/>
  <c r="F15" i="48" s="1"/>
  <c r="G15" i="48" s="1"/>
  <c r="F36" i="49" a="1"/>
  <c r="F36" i="49" s="1"/>
  <c r="F10" i="43" a="1"/>
  <c r="F10" i="43" s="1"/>
  <c r="F11" i="43" a="1"/>
  <c r="F11" i="43" s="1"/>
  <c r="F46" i="43" a="1"/>
  <c r="F46" i="43" s="1"/>
  <c r="F35" i="43" a="1"/>
  <c r="F35" i="43" s="1"/>
  <c r="F45" i="43" a="1"/>
  <c r="F45" i="43" s="1"/>
  <c r="F44" i="43" a="1"/>
  <c r="F44" i="43" s="1"/>
  <c r="F17" i="43" a="1"/>
  <c r="F17" i="43" s="1"/>
  <c r="F12" i="43" a="1"/>
  <c r="F15" i="43" a="1"/>
  <c r="F15" i="43" s="1"/>
  <c r="F22" i="43" a="1"/>
  <c r="F22" i="43" s="1"/>
  <c r="H22" i="43" s="1"/>
  <c r="F27" i="43" a="1"/>
  <c r="F27" i="43" s="1"/>
  <c r="H27" i="43" s="1"/>
  <c r="F17" i="47" a="1"/>
  <c r="F17" i="47" s="1"/>
  <c r="G17" i="47" s="1"/>
  <c r="F22" i="48" a="1"/>
  <c r="F22" i="48" s="1"/>
  <c r="G22" i="48" s="1"/>
  <c r="F10" i="49" a="1"/>
  <c r="F10" i="49" s="1"/>
  <c r="F18" i="49" a="1"/>
  <c r="F18" i="49" s="1"/>
  <c r="F7" i="43" a="1"/>
  <c r="F7" i="43" s="1"/>
  <c r="F8" i="44" a="1"/>
  <c r="F8" i="44" s="1"/>
  <c r="H8" i="44" s="1"/>
  <c r="F9" i="44" a="1"/>
  <c r="F9" i="44" s="1"/>
  <c r="G9" i="44" s="1"/>
  <c r="F13" i="44" a="1"/>
  <c r="F13" i="44" s="1"/>
  <c r="G13" i="44" s="1"/>
  <c r="F17" i="44" a="1"/>
  <c r="F17" i="44" s="1"/>
  <c r="G17" i="44" s="1"/>
  <c r="F21" i="44" a="1"/>
  <c r="F21" i="44" s="1"/>
  <c r="G21" i="44" s="1"/>
  <c r="F18" i="45" a="1"/>
  <c r="F18" i="45" s="1"/>
  <c r="H18" i="45" s="1"/>
  <c r="F5" i="49" a="1"/>
  <c r="F5" i="49" s="1"/>
  <c r="F27" i="49" a="1"/>
  <c r="F27" i="49" s="1"/>
  <c r="F6" i="47" a="1"/>
  <c r="F19" i="48" a="1"/>
  <c r="F19" i="48" s="1"/>
  <c r="G19" i="48" s="1"/>
  <c r="F8" i="49" a="1"/>
  <c r="F8" i="49" s="1"/>
  <c r="F16" i="49" a="1"/>
  <c r="F16" i="49" s="1"/>
  <c r="F24" i="49" a="1"/>
  <c r="F24" i="49" s="1"/>
  <c r="F29" i="43" a="1"/>
  <c r="F18" i="43" a="1"/>
  <c r="F23" i="43" a="1"/>
  <c r="F23" i="43" s="1"/>
  <c r="H23" i="43" s="1"/>
  <c r="F28" i="43" a="1"/>
  <c r="F8" i="45" a="1"/>
  <c r="F8" i="45" s="1"/>
  <c r="H8" i="45" s="1"/>
  <c r="F16" i="45" a="1"/>
  <c r="F16" i="45" s="1"/>
  <c r="H16" i="45" s="1"/>
  <c r="F23" i="45" a="1"/>
  <c r="F23" i="45" s="1"/>
  <c r="H23" i="45" s="1"/>
  <c r="F9" i="43" a="1"/>
  <c r="F6" i="44" a="1"/>
  <c r="F6" i="44" s="1"/>
  <c r="G6" i="44" s="1"/>
  <c r="F10" i="44" a="1"/>
  <c r="F14" i="44" a="1"/>
  <c r="F14" i="44" s="1"/>
  <c r="H14" i="44" s="1"/>
  <c r="F18" i="44" a="1"/>
  <c r="F18" i="44" s="1"/>
  <c r="G18" i="44" s="1"/>
  <c r="F4" i="45" a="1"/>
  <c r="F4" i="45" s="1"/>
  <c r="G4" i="45" s="1"/>
  <c r="F31" i="49" a="1"/>
  <c r="F31" i="49" s="1"/>
  <c r="F14" i="43" a="1"/>
  <c r="F14" i="43" s="1"/>
  <c r="F33" i="43" a="1"/>
  <c r="F41" i="43" a="1"/>
  <c r="F6" i="49" a="1"/>
  <c r="F6" i="49" s="1"/>
  <c r="F14" i="49" a="1"/>
  <c r="F14" i="49" s="1"/>
  <c r="F22" i="49" a="1"/>
  <c r="F22" i="49" s="1"/>
  <c r="F28" i="49" a="1"/>
  <c r="F28" i="49" s="1"/>
  <c r="F35" i="49" a="1"/>
  <c r="F35" i="49" s="1"/>
  <c r="F8" i="43" a="1"/>
  <c r="F8" i="43" s="1"/>
  <c r="H8" i="43" s="1"/>
  <c r="F25" i="43" a="1"/>
  <c r="F25" i="43" s="1"/>
  <c r="H25" i="43" s="1"/>
  <c r="F37" i="43" a="1"/>
  <c r="F13" i="45" a="1"/>
  <c r="F13" i="45" s="1"/>
  <c r="G13" i="45" s="1"/>
  <c r="F20" i="45" a="1"/>
  <c r="F20" i="45" s="1"/>
  <c r="H20" i="45" s="1"/>
  <c r="F20" i="46" a="1"/>
  <c r="F4" i="43" a="1"/>
  <c r="F4" i="43" s="1"/>
  <c r="G4" i="43" s="1"/>
  <c r="F12" i="44" a="1"/>
  <c r="F12" i="44" s="1"/>
  <c r="F15" i="44" a="1"/>
  <c r="F15" i="44" s="1"/>
  <c r="H15" i="44" s="1"/>
  <c r="F21" i="46" a="1"/>
  <c r="F21" i="46" s="1"/>
  <c r="G21" i="46" s="1"/>
  <c r="F11" i="48" a="1"/>
  <c r="F11" i="48" s="1"/>
  <c r="G11" i="48" s="1"/>
  <c r="F50" i="49" a="1"/>
  <c r="F50" i="49" s="1"/>
  <c r="F39" i="49" a="1"/>
  <c r="F39" i="49" s="1"/>
  <c r="F43" i="49" a="1"/>
  <c r="F43" i="49" s="1"/>
  <c r="F47" i="49" a="1"/>
  <c r="F47" i="49" s="1"/>
  <c r="F51" i="49" a="1"/>
  <c r="F51" i="49" s="1"/>
  <c r="F55" i="49" a="1"/>
  <c r="F55" i="49" s="1"/>
  <c r="F14" i="45" a="1"/>
  <c r="F14" i="45" s="1"/>
  <c r="H14" i="45" s="1"/>
  <c r="F21" i="45" a="1"/>
  <c r="F21" i="45" s="1"/>
  <c r="G21" i="45" s="1"/>
  <c r="F7" i="47" a="1"/>
  <c r="F7" i="47" s="1"/>
  <c r="H7" i="47" s="1"/>
  <c r="F4" i="49" a="1"/>
  <c r="F4" i="49" s="1"/>
  <c r="F49" i="49" a="1"/>
  <c r="F49" i="49" s="1"/>
  <c r="F12" i="49" a="1"/>
  <c r="F12" i="49" s="1"/>
  <c r="F20" i="49" a="1"/>
  <c r="F20" i="49" s="1"/>
  <c r="F16" i="43" a="1"/>
  <c r="F16" i="43" s="1"/>
  <c r="F26" i="43" a="1"/>
  <c r="F26" i="43" s="1"/>
  <c r="F34" i="43" a="1"/>
  <c r="F34" i="43" s="1"/>
  <c r="H34" i="43" s="1"/>
  <c r="F15" i="45" a="1"/>
  <c r="F15" i="45" s="1"/>
  <c r="F17" i="45" a="1"/>
  <c r="F17" i="45" s="1"/>
  <c r="H17" i="45" s="1"/>
  <c r="F14" i="48" a="1"/>
  <c r="F14" i="48" s="1"/>
  <c r="G14" i="48" s="1"/>
  <c r="F6" i="43" a="1"/>
  <c r="F6" i="43" s="1"/>
  <c r="H6" i="43" s="1"/>
  <c r="F4" i="44" a="1"/>
  <c r="F4" i="44" s="1"/>
  <c r="H4" i="44" s="1"/>
  <c r="F20" i="44" a="1"/>
  <c r="F20" i="44" s="1"/>
  <c r="G20" i="44" s="1"/>
  <c r="F24" i="44" a="1"/>
  <c r="F24" i="44" s="1"/>
  <c r="H24" i="44" s="1"/>
  <c r="F43" i="44" a="1"/>
  <c r="F43" i="44" s="1"/>
  <c r="H43" i="44" s="1"/>
  <c r="F49" i="44" a="1"/>
  <c r="F49" i="44" s="1"/>
  <c r="H49" i="44" s="1"/>
  <c r="F18" i="48" a="1"/>
  <c r="F18" i="48" s="1"/>
  <c r="H18" i="48" s="1"/>
  <c r="F7" i="49" a="1"/>
  <c r="F7" i="49" s="1"/>
  <c r="F52" i="49" a="1"/>
  <c r="F52" i="49" s="1"/>
  <c r="F8" i="47" a="1"/>
  <c r="F14" i="47" a="1"/>
  <c r="F24" i="47" a="1"/>
  <c r="F24" i="47" s="1"/>
  <c r="H24" i="47" s="1"/>
  <c r="F5" i="47" a="1"/>
  <c r="F15" i="47" a="1"/>
  <c r="F13" i="47" a="1"/>
  <c r="F13" i="47" s="1"/>
  <c r="G13" i="47" s="1"/>
  <c r="F16" i="47" a="1"/>
  <c r="F25" i="47" a="1"/>
  <c r="F12" i="47" a="1"/>
  <c r="F18" i="47" a="1"/>
  <c r="F18" i="47" s="1"/>
  <c r="F20" i="47" a="1"/>
  <c r="F20" i="47" s="1"/>
  <c r="G20" i="47" s="1"/>
  <c r="F19" i="47" a="1"/>
  <c r="F26" i="47" a="1"/>
  <c r="F26" i="47" s="1"/>
  <c r="F11" i="47" a="1"/>
  <c r="F11" i="47" s="1"/>
  <c r="F22" i="47" a="1"/>
  <c r="F22" i="47" s="1"/>
  <c r="F21" i="47" a="1"/>
  <c r="F21" i="47" s="1"/>
  <c r="F10" i="47" a="1"/>
  <c r="F10" i="47" s="1"/>
  <c r="H10" i="47" s="1"/>
  <c r="F19" i="47"/>
  <c r="G19" i="47" s="1"/>
  <c r="F14" i="47"/>
  <c r="G14" i="47" s="1"/>
  <c r="F6" i="47"/>
  <c r="F5" i="47"/>
  <c r="H5" i="47" s="1"/>
  <c r="F8" i="47"/>
  <c r="H8" i="47" s="1"/>
  <c r="F12" i="47"/>
  <c r="G12" i="47" s="1"/>
  <c r="F25" i="47"/>
  <c r="H25" i="47" s="1"/>
  <c r="F15" i="47"/>
  <c r="G15" i="47" s="1"/>
  <c r="F16" i="47"/>
  <c r="H16" i="47" s="1"/>
  <c r="F10" i="46" a="1"/>
  <c r="F10" i="46" s="1"/>
  <c r="H10" i="46" s="1"/>
  <c r="F23" i="46" a="1"/>
  <c r="F6" i="46" a="1"/>
  <c r="F6" i="46" s="1"/>
  <c r="H6" i="46" s="1"/>
  <c r="F25" i="46" a="1"/>
  <c r="F22" i="46" a="1"/>
  <c r="F22" i="46" s="1"/>
  <c r="G22" i="46" s="1"/>
  <c r="F15" i="46" a="1"/>
  <c r="F4" i="46" a="1"/>
  <c r="F4" i="46" s="1"/>
  <c r="F5" i="46" a="1"/>
  <c r="F13" i="46" a="1"/>
  <c r="F13" i="46" s="1"/>
  <c r="H13" i="46" s="1"/>
  <c r="F8" i="46" a="1"/>
  <c r="F14" i="46" a="1"/>
  <c r="F14" i="46" s="1"/>
  <c r="F18" i="46" a="1"/>
  <c r="F18" i="46" s="1"/>
  <c r="F12" i="46" a="1"/>
  <c r="F12" i="46" s="1"/>
  <c r="F19" i="46" a="1"/>
  <c r="F19" i="46" s="1"/>
  <c r="F7" i="46" a="1"/>
  <c r="F7" i="46" s="1"/>
  <c r="F24" i="46" a="1"/>
  <c r="F24" i="46" s="1"/>
  <c r="F17" i="46" a="1"/>
  <c r="F17" i="46" s="1"/>
  <c r="G17" i="46" s="1"/>
  <c r="F15" i="46"/>
  <c r="H15" i="46" s="1"/>
  <c r="F5" i="46"/>
  <c r="G5" i="46" s="1"/>
  <c r="F8" i="46"/>
  <c r="H8" i="46" s="1"/>
  <c r="F20" i="46"/>
  <c r="H20" i="46" s="1"/>
  <c r="F23" i="46"/>
  <c r="H23" i="46" s="1"/>
  <c r="F25" i="46"/>
  <c r="H25" i="46" s="1"/>
  <c r="F9" i="45" a="1"/>
  <c r="F9" i="45" s="1"/>
  <c r="F24" i="45" a="1"/>
  <c r="F24" i="45" s="1"/>
  <c r="G24" i="45" s="1"/>
  <c r="F5" i="45" a="1"/>
  <c r="F5" i="45" s="1"/>
  <c r="H5" i="45" s="1"/>
  <c r="F12" i="45" a="1"/>
  <c r="F12" i="45" s="1"/>
  <c r="G12" i="45" s="1"/>
  <c r="F19" i="45" a="1"/>
  <c r="F19" i="45" s="1"/>
  <c r="H19" i="45" s="1"/>
  <c r="F22" i="45" a="1"/>
  <c r="F22" i="45" s="1"/>
  <c r="F10" i="45" a="1"/>
  <c r="F10" i="45" s="1"/>
  <c r="F11" i="45" a="1"/>
  <c r="F11" i="45" s="1"/>
  <c r="F6" i="45"/>
  <c r="H6" i="45" s="1"/>
  <c r="F29" i="44" a="1"/>
  <c r="F29" i="44" s="1"/>
  <c r="G29" i="44" s="1"/>
  <c r="F46" i="44" a="1"/>
  <c r="F46" i="44" s="1"/>
  <c r="G46" i="44" s="1"/>
  <c r="F5" i="44" a="1"/>
  <c r="F5" i="44" s="1"/>
  <c r="H5" i="44" s="1"/>
  <c r="F16" i="44" a="1"/>
  <c r="F16" i="44" s="1"/>
  <c r="H16" i="44" s="1"/>
  <c r="F19" i="44" a="1"/>
  <c r="F19" i="44" s="1"/>
  <c r="F25" i="44" a="1"/>
  <c r="F25" i="44" s="1"/>
  <c r="F7" i="44" a="1"/>
  <c r="F7" i="44" s="1"/>
  <c r="H7" i="44" s="1"/>
  <c r="F42" i="44" a="1"/>
  <c r="F42" i="44" s="1"/>
  <c r="F11" i="44" a="1"/>
  <c r="F11" i="44" s="1"/>
  <c r="F23" i="44" a="1"/>
  <c r="F23" i="44" s="1"/>
  <c r="H23" i="44" s="1"/>
  <c r="F10" i="44"/>
  <c r="H10" i="44" s="1"/>
  <c r="F36" i="43" a="1"/>
  <c r="F36" i="43" s="1"/>
  <c r="H36" i="43" s="1"/>
  <c r="F20" i="43" a="1"/>
  <c r="F20" i="43" s="1"/>
  <c r="H20" i="43" s="1"/>
  <c r="F13" i="43" a="1"/>
  <c r="F40" i="43" a="1"/>
  <c r="F40" i="43" s="1"/>
  <c r="H40" i="43" s="1"/>
  <c r="F30" i="43" a="1"/>
  <c r="F30" i="43" s="1"/>
  <c r="H30" i="43" s="1"/>
  <c r="F21" i="43" a="1"/>
  <c r="F21" i="43" s="1"/>
  <c r="H21" i="43" s="1"/>
  <c r="F5" i="43" a="1"/>
  <c r="F5" i="43" s="1"/>
  <c r="G5" i="43" s="1"/>
  <c r="F32" i="43" a="1"/>
  <c r="F32" i="43" s="1"/>
  <c r="F13" i="43"/>
  <c r="H13" i="43" s="1"/>
  <c r="F33" i="43"/>
  <c r="H33" i="43" s="1"/>
  <c r="F9" i="43"/>
  <c r="H9" i="43" s="1"/>
  <c r="F37" i="43"/>
  <c r="F28" i="43"/>
  <c r="H28" i="43" s="1"/>
  <c r="F18" i="43"/>
  <c r="H18" i="43" s="1"/>
  <c r="F41" i="43"/>
  <c r="H41" i="43" s="1"/>
  <c r="F12" i="43"/>
  <c r="H12" i="43" s="1"/>
  <c r="F29" i="43"/>
  <c r="H29" i="43" s="1"/>
  <c r="H47" i="49"/>
  <c r="G47" i="49"/>
  <c r="H4" i="49"/>
  <c r="G4" i="49"/>
  <c r="H7" i="49"/>
  <c r="G7" i="49"/>
  <c r="H15" i="49"/>
  <c r="G15" i="49"/>
  <c r="H23" i="49"/>
  <c r="G23" i="49"/>
  <c r="H29" i="49"/>
  <c r="G29" i="49"/>
  <c r="H36" i="49"/>
  <c r="G36" i="49"/>
  <c r="H10" i="49"/>
  <c r="G10" i="49"/>
  <c r="H18" i="49"/>
  <c r="G18" i="49"/>
  <c r="H39" i="49"/>
  <c r="G39" i="49"/>
  <c r="H27" i="49"/>
  <c r="G27" i="49"/>
  <c r="H51" i="49"/>
  <c r="G51" i="49"/>
  <c r="G5" i="49"/>
  <c r="H5" i="49"/>
  <c r="H13" i="49"/>
  <c r="G13" i="49"/>
  <c r="H21" i="49"/>
  <c r="G21" i="49"/>
  <c r="H8" i="49"/>
  <c r="G8" i="49"/>
  <c r="H16" i="49"/>
  <c r="G16" i="49"/>
  <c r="H24" i="49"/>
  <c r="G24" i="49"/>
  <c r="H11" i="49"/>
  <c r="G11" i="49"/>
  <c r="H19" i="49"/>
  <c r="G19" i="49"/>
  <c r="H31" i="49"/>
  <c r="G31" i="49"/>
  <c r="H6" i="49"/>
  <c r="G6" i="49"/>
  <c r="H14" i="49"/>
  <c r="G14" i="49"/>
  <c r="H22" i="49"/>
  <c r="G22" i="49"/>
  <c r="H28" i="49"/>
  <c r="G28" i="49"/>
  <c r="H35" i="49"/>
  <c r="G35" i="49"/>
  <c r="H50" i="49"/>
  <c r="G50" i="49"/>
  <c r="H9" i="49"/>
  <c r="G9" i="49"/>
  <c r="G17" i="49"/>
  <c r="H17" i="49"/>
  <c r="H25" i="49"/>
  <c r="G25" i="49"/>
  <c r="H55" i="49"/>
  <c r="G55" i="49"/>
  <c r="H43" i="49"/>
  <c r="G43" i="49"/>
  <c r="H49" i="49"/>
  <c r="G49" i="49"/>
  <c r="H12" i="49"/>
  <c r="G12" i="49"/>
  <c r="H20" i="49"/>
  <c r="G20" i="49"/>
  <c r="H32" i="49"/>
  <c r="G32" i="49"/>
  <c r="H52" i="49"/>
  <c r="G52" i="49"/>
  <c r="F40" i="49" a="1"/>
  <c r="F40" i="49" s="1"/>
  <c r="F44" i="49" a="1"/>
  <c r="F44" i="49" s="1"/>
  <c r="F48" i="49" a="1"/>
  <c r="F48" i="49" s="1"/>
  <c r="F30" i="49" a="1"/>
  <c r="F30" i="49" s="1"/>
  <c r="F38" i="49" a="1"/>
  <c r="F38" i="49" s="1"/>
  <c r="F46" i="49" a="1"/>
  <c r="F46" i="49" s="1"/>
  <c r="F54" i="49" a="1"/>
  <c r="F54" i="49" s="1"/>
  <c r="F26" i="49" a="1"/>
  <c r="F26" i="49" s="1"/>
  <c r="F34" i="49" a="1"/>
  <c r="F34" i="49" s="1"/>
  <c r="F42" i="49" a="1"/>
  <c r="F42" i="49" s="1"/>
  <c r="F37" i="49" a="1"/>
  <c r="F37" i="49" s="1"/>
  <c r="F45" i="49" a="1"/>
  <c r="F45" i="49" s="1"/>
  <c r="F53" i="49" a="1"/>
  <c r="F53" i="49" s="1"/>
  <c r="F33" i="49" a="1"/>
  <c r="F33" i="49" s="1"/>
  <c r="F41" i="49" a="1"/>
  <c r="F41" i="49" s="1"/>
  <c r="H15" i="48"/>
  <c r="G4" i="48"/>
  <c r="H4" i="48"/>
  <c r="F7" i="48" a="1"/>
  <c r="F7" i="48" s="1"/>
  <c r="F6" i="48" a="1"/>
  <c r="F6" i="48" s="1"/>
  <c r="F13" i="48" a="1"/>
  <c r="F13" i="48" s="1"/>
  <c r="F21" i="48" a="1"/>
  <c r="F21" i="48" s="1"/>
  <c r="F10" i="48" a="1"/>
  <c r="F10" i="48" s="1"/>
  <c r="F17" i="48" a="1"/>
  <c r="F17" i="48" s="1"/>
  <c r="F5" i="48" a="1"/>
  <c r="F5" i="48" s="1"/>
  <c r="F12" i="48" a="1"/>
  <c r="F12" i="48" s="1"/>
  <c r="F20" i="48" a="1"/>
  <c r="F20" i="48" s="1"/>
  <c r="F9" i="48" a="1"/>
  <c r="F9" i="48" s="1"/>
  <c r="F16" i="48" a="1"/>
  <c r="F16" i="48" s="1"/>
  <c r="G6" i="47"/>
  <c r="H6" i="47"/>
  <c r="H19" i="47"/>
  <c r="H12" i="47"/>
  <c r="F23" i="47" a="1"/>
  <c r="F23" i="47" s="1"/>
  <c r="F4" i="47" a="1"/>
  <c r="F4" i="47" s="1"/>
  <c r="F9" i="47" a="1"/>
  <c r="F9" i="47" s="1"/>
  <c r="F11" i="46" a="1"/>
  <c r="F11" i="46" s="1"/>
  <c r="F9" i="46" a="1"/>
  <c r="F9" i="46" s="1"/>
  <c r="F16" i="46" a="1"/>
  <c r="F16" i="46" s="1"/>
  <c r="F25" i="45" a="1"/>
  <c r="F25" i="45" s="1"/>
  <c r="F22" i="44" a="1"/>
  <c r="F22" i="44" s="1"/>
  <c r="F26" i="44" a="1"/>
  <c r="F26" i="44" s="1"/>
  <c r="F44" i="44" a="1"/>
  <c r="F44" i="44" s="1"/>
  <c r="F48" i="44" a="1"/>
  <c r="F48" i="44" s="1"/>
  <c r="F24" i="43" a="1"/>
  <c r="F24" i="43" s="1"/>
  <c r="H24" i="43" s="1"/>
  <c r="F43" i="43" a="1"/>
  <c r="F43" i="43" s="1"/>
  <c r="H43" i="43" s="1"/>
  <c r="F31" i="43" a="1"/>
  <c r="F31" i="43" s="1"/>
  <c r="H31" i="43" s="1"/>
  <c r="F39" i="43" a="1"/>
  <c r="F39" i="43" s="1"/>
  <c r="H39" i="43" s="1"/>
  <c r="F42" i="43" a="1"/>
  <c r="F42" i="43" s="1"/>
  <c r="H42" i="43" s="1"/>
  <c r="F38" i="43" a="1"/>
  <c r="F38" i="43" s="1"/>
  <c r="H38" i="43" s="1"/>
  <c r="I49" i="21"/>
  <c r="I10" i="21"/>
  <c r="I13" i="21"/>
  <c r="I19" i="21"/>
  <c r="I50" i="21"/>
  <c r="I17" i="21"/>
  <c r="I11" i="21"/>
  <c r="I28" i="21"/>
  <c r="I39" i="21"/>
  <c r="I9" i="21"/>
  <c r="I24" i="21"/>
  <c r="I16" i="21"/>
  <c r="N11" i="21" l="1"/>
  <c r="N9" i="21"/>
  <c r="Q45" i="21" a="1"/>
  <c r="Q45" i="21" s="1"/>
  <c r="P45" i="21"/>
  <c r="P48" i="21"/>
  <c r="Q48" i="21" a="1"/>
  <c r="Q48" i="21" s="1"/>
  <c r="H48" i="45"/>
  <c r="G48" i="45"/>
  <c r="G36" i="45"/>
  <c r="H36" i="45"/>
  <c r="P52" i="21"/>
  <c r="Q52" i="21" a="1"/>
  <c r="Q52" i="21" s="1"/>
  <c r="Q53" i="21" a="1"/>
  <c r="Q53" i="21" s="1"/>
  <c r="P53" i="21"/>
  <c r="Q61" i="21" a="1"/>
  <c r="Q61" i="21" s="1"/>
  <c r="P61" i="21"/>
  <c r="G19" i="43"/>
  <c r="Q85" i="21" a="1"/>
  <c r="Q85" i="21" s="1"/>
  <c r="P85" i="21"/>
  <c r="P76" i="21"/>
  <c r="Q76" i="21" a="1"/>
  <c r="Q76" i="21" s="1"/>
  <c r="P70" i="21"/>
  <c r="Q70" i="21" a="1"/>
  <c r="Q70" i="21" s="1"/>
  <c r="Q50" i="21" a="1"/>
  <c r="Q50" i="21" s="1"/>
  <c r="P50" i="21"/>
  <c r="Q44" i="21" a="1"/>
  <c r="Q44" i="21" s="1"/>
  <c r="P44" i="21"/>
  <c r="P71" i="21"/>
  <c r="Q71" i="21" a="1"/>
  <c r="Q71" i="21" s="1"/>
  <c r="P58" i="21"/>
  <c r="Q58" i="21" a="1"/>
  <c r="Q58" i="21" s="1"/>
  <c r="P36" i="21"/>
  <c r="Q36" i="21" a="1"/>
  <c r="Q36" i="21" s="1"/>
  <c r="H22" i="48"/>
  <c r="G8" i="48"/>
  <c r="H11" i="48"/>
  <c r="H19" i="48"/>
  <c r="G18" i="48"/>
  <c r="H14" i="48"/>
  <c r="H17" i="47"/>
  <c r="H20" i="47"/>
  <c r="G7" i="45"/>
  <c r="H7" i="45"/>
  <c r="G5" i="45"/>
  <c r="G31" i="45"/>
  <c r="H31" i="45"/>
  <c r="G26" i="45"/>
  <c r="H26" i="45"/>
  <c r="H44" i="45"/>
  <c r="G44" i="45"/>
  <c r="G40" i="45"/>
  <c r="H40" i="45"/>
  <c r="H49" i="45"/>
  <c r="G49" i="45"/>
  <c r="H27" i="45"/>
  <c r="G27" i="45"/>
  <c r="H46" i="45"/>
  <c r="G46" i="45"/>
  <c r="G33" i="45"/>
  <c r="H33" i="45"/>
  <c r="H34" i="45"/>
  <c r="G34" i="45"/>
  <c r="H28" i="45"/>
  <c r="G28" i="45"/>
  <c r="G32" i="45"/>
  <c r="H32" i="45"/>
  <c r="G39" i="45"/>
  <c r="H39" i="45"/>
  <c r="G45" i="45"/>
  <c r="H45" i="45"/>
  <c r="G29" i="45"/>
  <c r="H29" i="45"/>
  <c r="H47" i="45"/>
  <c r="G47" i="45"/>
  <c r="H35" i="45"/>
  <c r="G35" i="45"/>
  <c r="G38" i="45"/>
  <c r="H38" i="45"/>
  <c r="G41" i="45"/>
  <c r="H41" i="45"/>
  <c r="G30" i="45"/>
  <c r="H30" i="45"/>
  <c r="H42" i="45"/>
  <c r="G42" i="45"/>
  <c r="H43" i="45"/>
  <c r="G43" i="45"/>
  <c r="G37" i="45"/>
  <c r="H37" i="45"/>
  <c r="H15" i="45"/>
  <c r="G15" i="45"/>
  <c r="G20" i="45"/>
  <c r="G19" i="45"/>
  <c r="G16" i="45"/>
  <c r="H12" i="45"/>
  <c r="G14" i="45"/>
  <c r="G6" i="45"/>
  <c r="G8" i="45"/>
  <c r="G45" i="44"/>
  <c r="H45" i="44"/>
  <c r="G5" i="44"/>
  <c r="G14" i="44"/>
  <c r="G12" i="44"/>
  <c r="H12" i="44"/>
  <c r="H21" i="44"/>
  <c r="H47" i="44"/>
  <c r="G24" i="44"/>
  <c r="G4" i="44"/>
  <c r="H46" i="44"/>
  <c r="G33" i="44"/>
  <c r="H33" i="44"/>
  <c r="G28" i="44"/>
  <c r="H28" i="44"/>
  <c r="G36" i="44"/>
  <c r="H36" i="44"/>
  <c r="H37" i="44"/>
  <c r="G37" i="44"/>
  <c r="G8" i="44"/>
  <c r="H34" i="44"/>
  <c r="G34" i="44"/>
  <c r="H41" i="44"/>
  <c r="G41" i="44"/>
  <c r="G31" i="44"/>
  <c r="H31" i="44"/>
  <c r="H18" i="44"/>
  <c r="G30" i="44"/>
  <c r="H30" i="44"/>
  <c r="H27" i="44"/>
  <c r="G27" i="44"/>
  <c r="G38" i="44"/>
  <c r="H38" i="44"/>
  <c r="H32" i="44"/>
  <c r="G32" i="44"/>
  <c r="H35" i="44"/>
  <c r="G35" i="44"/>
  <c r="H40" i="44"/>
  <c r="G40" i="44"/>
  <c r="G39" i="44"/>
  <c r="H39" i="44"/>
  <c r="H29" i="44"/>
  <c r="G18" i="47"/>
  <c r="H18" i="47"/>
  <c r="G11" i="43"/>
  <c r="H11" i="43"/>
  <c r="H17" i="43"/>
  <c r="G17" i="43"/>
  <c r="H45" i="43"/>
  <c r="G45" i="43"/>
  <c r="H46" i="43"/>
  <c r="G46" i="43"/>
  <c r="H44" i="43"/>
  <c r="G44" i="43"/>
  <c r="G10" i="43"/>
  <c r="H10" i="43"/>
  <c r="H35" i="43"/>
  <c r="G35" i="43"/>
  <c r="G16" i="43"/>
  <c r="H16" i="43"/>
  <c r="G32" i="43"/>
  <c r="H32" i="43"/>
  <c r="G7" i="43"/>
  <c r="H7" i="43"/>
  <c r="G37" i="43"/>
  <c r="H37" i="43"/>
  <c r="G15" i="43"/>
  <c r="H15" i="43"/>
  <c r="G14" i="43"/>
  <c r="H14" i="43"/>
  <c r="G26" i="43"/>
  <c r="H26" i="43"/>
  <c r="G9" i="43"/>
  <c r="G13" i="43"/>
  <c r="G6" i="43"/>
  <c r="G23" i="43"/>
  <c r="G25" i="43"/>
  <c r="G41" i="43"/>
  <c r="G34" i="43"/>
  <c r="H5" i="43"/>
  <c r="H24" i="45"/>
  <c r="G40" i="43"/>
  <c r="G22" i="47"/>
  <c r="H22" i="47"/>
  <c r="H11" i="47"/>
  <c r="G11" i="47"/>
  <c r="G25" i="47"/>
  <c r="H13" i="47"/>
  <c r="G21" i="47"/>
  <c r="H21" i="47"/>
  <c r="G16" i="47"/>
  <c r="G7" i="47"/>
  <c r="G5" i="47"/>
  <c r="H14" i="47"/>
  <c r="G8" i="47"/>
  <c r="G10" i="47"/>
  <c r="G24" i="47"/>
  <c r="H15" i="47"/>
  <c r="H22" i="46"/>
  <c r="H21" i="46"/>
  <c r="G6" i="46"/>
  <c r="G12" i="46"/>
  <c r="H12" i="46"/>
  <c r="G4" i="46"/>
  <c r="H4" i="46"/>
  <c r="H18" i="46"/>
  <c r="G18" i="46"/>
  <c r="H24" i="46"/>
  <c r="G24" i="46"/>
  <c r="H7" i="46"/>
  <c r="G7" i="46"/>
  <c r="H19" i="46"/>
  <c r="G19" i="46"/>
  <c r="G14" i="46"/>
  <c r="H14" i="46"/>
  <c r="H17" i="46"/>
  <c r="H5" i="46"/>
  <c r="G10" i="46"/>
  <c r="G25" i="46"/>
  <c r="G8" i="46"/>
  <c r="G23" i="46"/>
  <c r="G15" i="46"/>
  <c r="G20" i="46"/>
  <c r="G13" i="46"/>
  <c r="G22" i="45"/>
  <c r="H22" i="45"/>
  <c r="H11" i="45"/>
  <c r="G11" i="45"/>
  <c r="G10" i="45"/>
  <c r="H10" i="45"/>
  <c r="G9" i="45"/>
  <c r="H9" i="45"/>
  <c r="G18" i="45"/>
  <c r="H13" i="45"/>
  <c r="H4" i="45"/>
  <c r="H21" i="45"/>
  <c r="G17" i="45"/>
  <c r="G23" i="45"/>
  <c r="G25" i="44"/>
  <c r="H25" i="44"/>
  <c r="H19" i="44"/>
  <c r="G19" i="44"/>
  <c r="H11" i="44"/>
  <c r="G11" i="44"/>
  <c r="H42" i="44"/>
  <c r="G42" i="44"/>
  <c r="G49" i="44"/>
  <c r="G16" i="44"/>
  <c r="H17" i="44"/>
  <c r="G10" i="44"/>
  <c r="H13" i="44"/>
  <c r="H20" i="44"/>
  <c r="G15" i="44"/>
  <c r="G43" i="44"/>
  <c r="G7" i="44"/>
  <c r="H6" i="44"/>
  <c r="H9" i="44"/>
  <c r="G23" i="44"/>
  <c r="G21" i="43"/>
  <c r="G36" i="43"/>
  <c r="G20" i="43"/>
  <c r="H4" i="43"/>
  <c r="G33" i="43"/>
  <c r="G30" i="43"/>
  <c r="G27" i="43"/>
  <c r="G8" i="43"/>
  <c r="G28" i="43"/>
  <c r="G29" i="43"/>
  <c r="G18" i="43"/>
  <c r="G12" i="43"/>
  <c r="G22" i="43"/>
  <c r="H41" i="49"/>
  <c r="G41" i="49"/>
  <c r="H33" i="49"/>
  <c r="G33" i="49"/>
  <c r="H46" i="49"/>
  <c r="G46" i="49"/>
  <c r="H53" i="49"/>
  <c r="G53" i="49"/>
  <c r="H38" i="49"/>
  <c r="G38" i="49"/>
  <c r="H30" i="49"/>
  <c r="G30" i="49"/>
  <c r="H45" i="49"/>
  <c r="G45" i="49"/>
  <c r="H37" i="49"/>
  <c r="G37" i="49"/>
  <c r="H48" i="49"/>
  <c r="G48" i="49"/>
  <c r="H42" i="49"/>
  <c r="G42" i="49"/>
  <c r="H44" i="49"/>
  <c r="G44" i="49"/>
  <c r="H34" i="49"/>
  <c r="G34" i="49"/>
  <c r="H40" i="49"/>
  <c r="G40" i="49"/>
  <c r="H26" i="49"/>
  <c r="G26" i="49"/>
  <c r="H54" i="49"/>
  <c r="G54" i="49"/>
  <c r="H20" i="48"/>
  <c r="G20" i="48"/>
  <c r="H10" i="48"/>
  <c r="G10" i="48"/>
  <c r="H7" i="48"/>
  <c r="G7" i="48"/>
  <c r="H5" i="48"/>
  <c r="G5" i="48"/>
  <c r="H12" i="48"/>
  <c r="G12" i="48"/>
  <c r="H16" i="48"/>
  <c r="G16" i="48"/>
  <c r="H9" i="48"/>
  <c r="G9" i="48"/>
  <c r="H21" i="48"/>
  <c r="G21" i="48"/>
  <c r="H13" i="48"/>
  <c r="G13" i="48"/>
  <c r="H17" i="48"/>
  <c r="G17" i="48"/>
  <c r="H6" i="48"/>
  <c r="G6" i="48"/>
  <c r="H9" i="47"/>
  <c r="G9" i="47"/>
  <c r="H4" i="47"/>
  <c r="G4" i="47"/>
  <c r="H23" i="47"/>
  <c r="G23" i="47"/>
  <c r="H11" i="46"/>
  <c r="G11" i="46"/>
  <c r="H16" i="46"/>
  <c r="G16" i="46"/>
  <c r="H9" i="46"/>
  <c r="G9" i="46"/>
  <c r="H25" i="45"/>
  <c r="G25" i="45"/>
  <c r="H44" i="44"/>
  <c r="G44" i="44"/>
  <c r="H48" i="44"/>
  <c r="G48" i="44"/>
  <c r="H26" i="44"/>
  <c r="G26" i="44"/>
  <c r="H22" i="44"/>
  <c r="G22" i="44"/>
  <c r="G43" i="43"/>
  <c r="G42" i="43"/>
  <c r="G24" i="43"/>
  <c r="G39" i="43"/>
  <c r="G31" i="43"/>
  <c r="G38" i="43"/>
  <c r="I77" i="21"/>
  <c r="I6" i="21"/>
  <c r="I8" i="21"/>
  <c r="I42" i="21"/>
  <c r="I15" i="21"/>
  <c r="I81" i="21"/>
  <c r="I69" i="21"/>
  <c r="I31" i="21"/>
  <c r="I68" i="21"/>
  <c r="I64" i="21"/>
  <c r="I89" i="21"/>
  <c r="I54" i="21"/>
  <c r="I37" i="21"/>
  <c r="I74" i="21"/>
  <c r="I41" i="21"/>
  <c r="I7" i="21"/>
  <c r="I5" i="21"/>
  <c r="I22" i="21"/>
  <c r="I75" i="21"/>
  <c r="I55" i="21"/>
  <c r="I30" i="21"/>
  <c r="I88" i="21"/>
  <c r="I21" i="21"/>
  <c r="I56" i="21"/>
  <c r="I32" i="21"/>
  <c r="I35" i="21"/>
  <c r="I38" i="21"/>
  <c r="I14" i="21"/>
  <c r="I79" i="21"/>
  <c r="I12" i="21"/>
  <c r="I40" i="21"/>
  <c r="I23" i="21"/>
  <c r="I60" i="21"/>
  <c r="I43" i="21"/>
  <c r="I67" i="21"/>
  <c r="I90" i="21"/>
  <c r="I20" i="21"/>
  <c r="P68" i="21" l="1"/>
  <c r="Q68" i="21" a="1"/>
  <c r="Q68" i="21" s="1"/>
  <c r="P55" i="21"/>
  <c r="Q55" i="21" a="1"/>
  <c r="Q55" i="21" s="1"/>
  <c r="P67" i="21"/>
  <c r="Q67" i="21" a="1"/>
  <c r="Q67" i="21" s="1"/>
  <c r="P60" i="21"/>
  <c r="Q60" i="21" a="1"/>
  <c r="Q60" i="21" s="1"/>
  <c r="Q64" i="21" a="1"/>
  <c r="Q64" i="21" s="1"/>
  <c r="P64" i="21"/>
  <c r="Q77" i="21" a="1"/>
  <c r="Q77" i="21" s="1"/>
  <c r="P77" i="21"/>
  <c r="P56" i="21"/>
  <c r="Q56" i="21" a="1"/>
  <c r="Q56" i="21" s="1"/>
  <c r="P75" i="21"/>
  <c r="Q75" i="21" a="1"/>
  <c r="Q75" i="21" s="1"/>
  <c r="Q38" i="21" a="1"/>
  <c r="Q38" i="21" s="1"/>
  <c r="P38" i="21"/>
  <c r="Q17" i="21" a="1"/>
  <c r="Q17" i="21" s="1"/>
  <c r="P17" i="21"/>
  <c r="P80" i="21"/>
  <c r="Q80" i="21" a="1"/>
  <c r="Q80" i="21" s="1"/>
  <c r="Q62" i="21" a="1"/>
  <c r="Q62" i="21" s="1"/>
  <c r="P62" i="21"/>
  <c r="P74" i="21"/>
  <c r="Q74" i="21" a="1"/>
  <c r="Q74" i="21" s="1"/>
  <c r="Q72" i="21" a="1"/>
  <c r="Q72" i="21" s="1"/>
  <c r="P72" i="21"/>
  <c r="Q59" i="21" a="1"/>
  <c r="Q59" i="21" s="1"/>
  <c r="P59" i="21"/>
  <c r="P81" i="21"/>
  <c r="Q81" i="21" a="1"/>
  <c r="Q81" i="21" s="1"/>
  <c r="Q90" i="21" a="1"/>
  <c r="Q90" i="21" s="1"/>
  <c r="P90" i="21"/>
  <c r="P84" i="21"/>
  <c r="Q84" i="21" a="1"/>
  <c r="Q84" i="21" s="1"/>
  <c r="P89" i="21"/>
  <c r="Q89" i="21" a="1"/>
  <c r="Q89" i="21" s="1"/>
  <c r="Q88" i="21" a="1"/>
  <c r="Q88" i="21" s="1"/>
  <c r="P88" i="21"/>
  <c r="P65" i="21"/>
  <c r="Q65" i="21" a="1"/>
  <c r="Q65" i="21" s="1"/>
  <c r="P63" i="21"/>
  <c r="Q63" i="21" a="1"/>
  <c r="Q63" i="21" s="1"/>
  <c r="Q82" i="21" a="1"/>
  <c r="Q82" i="21" s="1"/>
  <c r="P82" i="21"/>
  <c r="Q49" i="21" a="1"/>
  <c r="Q49" i="21" s="1"/>
  <c r="P49" i="21"/>
  <c r="Q10" i="21" a="1"/>
  <c r="Q10" i="21" s="1"/>
  <c r="P10" i="21"/>
  <c r="P79" i="21"/>
  <c r="Q79" i="21" a="1"/>
  <c r="Q79" i="21" s="1"/>
  <c r="P87" i="21"/>
  <c r="Q87" i="21" a="1"/>
  <c r="Q87" i="21" s="1"/>
  <c r="P14" i="21"/>
  <c r="Q14" i="21" a="1"/>
  <c r="Q14" i="21" s="1"/>
  <c r="P41" i="21"/>
  <c r="Q41" i="21" a="1"/>
  <c r="Q41" i="21" s="1"/>
  <c r="Q31" i="21" a="1"/>
  <c r="Q31" i="21" s="1"/>
  <c r="P31" i="21"/>
  <c r="Q16" i="21" a="1"/>
  <c r="Q16" i="21" s="1"/>
  <c r="P16" i="21"/>
  <c r="P86" i="21"/>
  <c r="Q86" i="21" a="1"/>
  <c r="Q86" i="21" s="1"/>
  <c r="P39" i="21"/>
  <c r="Q39" i="21" a="1"/>
  <c r="Q39" i="21" s="1"/>
  <c r="P13" i="21"/>
  <c r="Q13" i="21" a="1"/>
  <c r="Q13" i="21" s="1"/>
  <c r="E11" i="27"/>
  <c r="E8" i="27"/>
  <c r="E10" i="27"/>
  <c r="E9" i="27"/>
  <c r="E12" i="27"/>
  <c r="E16" i="27"/>
  <c r="E15" i="27"/>
  <c r="E35" i="27"/>
  <c r="E36" i="27"/>
  <c r="E37" i="27"/>
  <c r="E38" i="27"/>
  <c r="E14" i="27"/>
  <c r="E27" i="27"/>
  <c r="E32" i="27"/>
  <c r="E40" i="27"/>
  <c r="E39" i="27"/>
  <c r="F9" i="27" l="1" a="1"/>
  <c r="F33" i="27" a="1"/>
  <c r="F33" i="27" s="1"/>
  <c r="F7" i="27" a="1"/>
  <c r="F7" i="27" s="1"/>
  <c r="F4" i="27" a="1"/>
  <c r="F4" i="27" s="1"/>
  <c r="F6" i="27" a="1"/>
  <c r="F6" i="27" s="1"/>
  <c r="F5" i="27" a="1"/>
  <c r="F5" i="27" s="1"/>
  <c r="F8" i="27" a="1"/>
  <c r="F38" i="27" a="1"/>
  <c r="F38" i="27" s="1"/>
  <c r="F36" i="27" a="1"/>
  <c r="F36" i="27" s="1"/>
  <c r="F37" i="27" a="1"/>
  <c r="F15" i="27" a="1"/>
  <c r="F15" i="27" s="1"/>
  <c r="F14" i="27" a="1"/>
  <c r="F14" i="27" s="1"/>
  <c r="H14" i="27" s="1"/>
  <c r="F32" i="27" a="1"/>
  <c r="F32" i="27" s="1"/>
  <c r="H32" i="27" s="1"/>
  <c r="F10" i="27" a="1"/>
  <c r="F12" i="27" a="1"/>
  <c r="F12" i="27" s="1"/>
  <c r="F11" i="27" a="1"/>
  <c r="F11" i="27" s="1"/>
  <c r="F39" i="27" a="1"/>
  <c r="F27" i="27" a="1"/>
  <c r="F27" i="27" s="1"/>
  <c r="F40" i="27" a="1"/>
  <c r="F40" i="27" s="1"/>
  <c r="F16" i="27" a="1"/>
  <c r="F16" i="27" s="1"/>
  <c r="F35" i="27" a="1"/>
  <c r="F35" i="27" s="1"/>
  <c r="F29" i="27" a="1"/>
  <c r="F13" i="27" a="1"/>
  <c r="F13" i="27" s="1"/>
  <c r="F24" i="27" a="1"/>
  <c r="F24" i="27" s="1"/>
  <c r="F17" i="27" a="1"/>
  <c r="F17" i="27" s="1"/>
  <c r="F23" i="27" a="1"/>
  <c r="F23" i="27" s="1"/>
  <c r="F34" i="27" a="1"/>
  <c r="F34" i="27" s="1"/>
  <c r="F22" i="27" a="1"/>
  <c r="F22" i="27" s="1"/>
  <c r="F21" i="27" a="1"/>
  <c r="F21" i="27" s="1"/>
  <c r="F20" i="27" a="1"/>
  <c r="F20" i="27" s="1"/>
  <c r="F25" i="27" a="1"/>
  <c r="F25" i="27" s="1"/>
  <c r="F30" i="27" a="1"/>
  <c r="F30" i="27" s="1"/>
  <c r="F31" i="27" a="1"/>
  <c r="F31" i="27" s="1"/>
  <c r="F26" i="27" a="1"/>
  <c r="F26" i="27" s="1"/>
  <c r="F19" i="27" a="1"/>
  <c r="F19" i="27" s="1"/>
  <c r="F18" i="27" a="1"/>
  <c r="F18" i="27" s="1"/>
  <c r="F28" i="27" a="1"/>
  <c r="F28" i="27" s="1"/>
  <c r="F29" i="27"/>
  <c r="F37" i="27"/>
  <c r="G37" i="27" s="1"/>
  <c r="F8" i="27"/>
  <c r="F39" i="27"/>
  <c r="F10" i="27"/>
  <c r="F9" i="27"/>
  <c r="P43" i="21" l="1"/>
  <c r="Q43" i="21" a="1"/>
  <c r="Q43" i="21" s="1"/>
  <c r="H4" i="27"/>
  <c r="G4" i="27"/>
  <c r="G33" i="27"/>
  <c r="H33" i="27"/>
  <c r="H27" i="27"/>
  <c r="G27" i="27"/>
  <c r="G14" i="27"/>
  <c r="H37" i="27"/>
  <c r="H34" i="27"/>
  <c r="G34" i="27"/>
  <c r="H18" i="27"/>
  <c r="G18" i="27"/>
  <c r="H28" i="27"/>
  <c r="G28" i="27"/>
  <c r="G30" i="27"/>
  <c r="H30" i="27"/>
  <c r="H31" i="27"/>
  <c r="G31" i="27"/>
  <c r="G29" i="27"/>
  <c r="H29" i="27"/>
  <c r="H19" i="27"/>
  <c r="G19" i="27"/>
  <c r="H21" i="27"/>
  <c r="G21" i="27"/>
  <c r="H26" i="27"/>
  <c r="G26" i="27"/>
  <c r="H24" i="27"/>
  <c r="G24" i="27"/>
  <c r="H20" i="27"/>
  <c r="G20" i="27"/>
  <c r="H13" i="27"/>
  <c r="G13" i="27"/>
  <c r="H23" i="27"/>
  <c r="G23" i="27"/>
  <c r="G22" i="27"/>
  <c r="H22" i="27"/>
  <c r="G32" i="27"/>
  <c r="G17" i="27"/>
  <c r="H17" i="27"/>
  <c r="G25" i="27"/>
  <c r="H25" i="27"/>
  <c r="H38" i="27"/>
  <c r="G38" i="27"/>
  <c r="H39" i="27"/>
  <c r="G39" i="27"/>
  <c r="H35" i="27"/>
  <c r="G35" i="27"/>
  <c r="H9" i="27"/>
  <c r="G9" i="27"/>
  <c r="H12" i="27"/>
  <c r="G12" i="27"/>
  <c r="H7" i="27"/>
  <c r="G7" i="27"/>
  <c r="H6" i="27"/>
  <c r="G6" i="27"/>
  <c r="H15" i="27"/>
  <c r="G15" i="27"/>
  <c r="H5" i="27"/>
  <c r="G5" i="27"/>
  <c r="H10" i="27"/>
  <c r="G10" i="27"/>
  <c r="H40" i="27"/>
  <c r="G40" i="27"/>
  <c r="H11" i="27"/>
  <c r="G11" i="27"/>
  <c r="H8" i="27"/>
  <c r="G8" i="27"/>
  <c r="H36" i="27"/>
  <c r="G36" i="27"/>
  <c r="H16" i="27"/>
  <c r="G16" i="27"/>
  <c r="P73" i="21" l="1"/>
  <c r="Q73" i="21" a="1"/>
  <c r="Q73" i="21" s="1"/>
  <c r="Q40" i="21" a="1"/>
  <c r="Q40" i="21" s="1"/>
  <c r="P40" i="21"/>
  <c r="Q33" i="21" a="1"/>
  <c r="Q33" i="21" s="1"/>
  <c r="P33" i="21"/>
  <c r="Q35" i="21" l="1" a="1"/>
  <c r="Q35" i="21" s="1"/>
  <c r="P35" i="21"/>
  <c r="P83" i="21"/>
  <c r="Q83" i="21" a="1"/>
  <c r="Q83" i="21" s="1"/>
  <c r="P15" i="21"/>
  <c r="Q15" i="21" a="1"/>
  <c r="Q15" i="21" s="1"/>
  <c r="Q11" i="21" l="1" a="1"/>
  <c r="Q11" i="21" s="1"/>
  <c r="Q25" i="21" a="1"/>
  <c r="Q25" i="21" s="1"/>
  <c r="Q9" i="21" a="1"/>
  <c r="Q9" i="21" s="1"/>
  <c r="Q69" i="21" a="1"/>
  <c r="Q69" i="21" s="1"/>
  <c r="P69" i="21"/>
  <c r="P9" i="21"/>
  <c r="P47" i="21"/>
  <c r="P57" i="21"/>
  <c r="Q57" i="21" a="1"/>
  <c r="Q57" i="21" s="1"/>
  <c r="Q78" i="21" a="1"/>
  <c r="Q78" i="21" s="1"/>
  <c r="P78" i="21"/>
  <c r="Q28" i="21" a="1"/>
  <c r="Q28" i="21" s="1"/>
  <c r="P28" i="21"/>
  <c r="P26" i="21"/>
  <c r="Q26" i="21" a="1"/>
  <c r="Q26" i="21" s="1"/>
  <c r="P30" i="21"/>
  <c r="Q30" i="21" a="1"/>
  <c r="Q30" i="21" s="1"/>
  <c r="P19" i="21"/>
  <c r="P18" i="21"/>
  <c r="Q18" i="21" a="1"/>
  <c r="Q18" i="21" s="1"/>
  <c r="Q8" i="21" a="1"/>
  <c r="Q8" i="21" s="1"/>
  <c r="P8" i="21"/>
  <c r="Q32" i="21" a="1"/>
  <c r="Q32" i="21" s="1"/>
  <c r="P32" i="21"/>
  <c r="P46" i="21"/>
  <c r="Q46" i="21" a="1"/>
  <c r="Q46" i="21" s="1"/>
  <c r="P25" i="21"/>
  <c r="P23" i="21"/>
  <c r="Q23" i="21" a="1"/>
  <c r="Q23" i="21" s="1"/>
  <c r="P21" i="21"/>
  <c r="Q21" i="21" a="1"/>
  <c r="Q21" i="21" s="1"/>
  <c r="P7" i="21"/>
  <c r="Q7" i="21" a="1"/>
  <c r="Q7" i="21" s="1"/>
  <c r="P34" i="21"/>
  <c r="Q34" i="21" a="1"/>
  <c r="Q34" i="21" s="1"/>
  <c r="P11" i="21"/>
  <c r="Q54" i="21" a="1"/>
  <c r="Q54" i="21" s="1"/>
  <c r="P54" i="21"/>
  <c r="P42" i="21"/>
  <c r="Q42" i="21" a="1"/>
  <c r="Q42" i="21" s="1"/>
  <c r="Q6" i="21" a="1"/>
  <c r="Q6" i="21" s="1"/>
  <c r="P6" i="21"/>
  <c r="Q66" i="21" a="1"/>
  <c r="Q66" i="21" s="1"/>
  <c r="P66" i="21"/>
  <c r="Q5" i="21" a="1"/>
  <c r="Q5" i="21" s="1"/>
  <c r="P5" i="21"/>
  <c r="P37" i="21"/>
  <c r="Q37" i="21" a="1"/>
  <c r="Q37" i="21" s="1"/>
  <c r="Q24" i="21" a="1"/>
  <c r="Q24" i="21" s="1"/>
  <c r="P24" i="21"/>
  <c r="P51" i="21"/>
  <c r="Q51" i="21" a="1"/>
  <c r="Q51" i="21" s="1"/>
  <c r="Q12" i="21" a="1"/>
  <c r="Q12" i="21" s="1"/>
  <c r="P12" i="21"/>
  <c r="P22" i="21"/>
  <c r="Q22" i="21" a="1"/>
  <c r="Q22" i="21" s="1"/>
  <c r="Q20" i="21" a="1"/>
  <c r="Q20" i="21" s="1"/>
  <c r="P20" i="21"/>
  <c r="P27" i="21"/>
  <c r="Q29" i="21" a="1"/>
  <c r="Q29" i="21" s="1"/>
  <c r="P29" i="21"/>
  <c r="Q27" i="21" a="1"/>
  <c r="Q27" i="21" s="1"/>
  <c r="Q47" i="21" a="1"/>
  <c r="Q47" i="21" s="1"/>
  <c r="Q19" i="21" a="1"/>
  <c r="Q19" i="21" s="1"/>
  <c r="C68" i="21" l="1" a="1"/>
  <c r="C68" i="21" s="1"/>
  <c r="B68" i="21"/>
  <c r="B75" i="21"/>
  <c r="B91" i="21"/>
  <c r="B77" i="21"/>
  <c r="B67" i="21"/>
  <c r="B64" i="21"/>
  <c r="B56" i="21"/>
  <c r="B55" i="21"/>
  <c r="B60" i="21"/>
  <c r="B6" i="21"/>
  <c r="B2" i="21"/>
  <c r="C29" i="21" a="1"/>
  <c r="C29" i="21" s="1"/>
  <c r="C37" i="21" a="1"/>
  <c r="C37" i="21" s="1"/>
  <c r="C76" i="21" a="1"/>
  <c r="C76" i="21" s="1"/>
  <c r="C50" i="21" a="1"/>
  <c r="C50" i="21" s="1"/>
  <c r="C71" i="21" a="1"/>
  <c r="C71" i="21" s="1"/>
  <c r="C48" i="21" a="1"/>
  <c r="C48" i="21" s="1"/>
  <c r="C52" i="21" a="1"/>
  <c r="C52" i="21" s="1"/>
  <c r="C36" i="21" a="1"/>
  <c r="C36" i="21" s="1"/>
  <c r="C74" i="21" a="1"/>
  <c r="C74" i="21" s="1"/>
  <c r="C49" i="21" a="1"/>
  <c r="C49" i="21" s="1"/>
  <c r="C39" i="21" a="1"/>
  <c r="C39" i="21" s="1"/>
  <c r="C90" i="21" a="1"/>
  <c r="C90" i="21" s="1"/>
  <c r="C82" i="21" a="1"/>
  <c r="C82" i="21" s="1"/>
  <c r="C72" i="21" a="1"/>
  <c r="C72" i="21" s="1"/>
  <c r="C86" i="21" a="1"/>
  <c r="C86" i="21" s="1"/>
  <c r="C65" i="21" a="1"/>
  <c r="C65" i="21" s="1"/>
  <c r="C89" i="21" a="1"/>
  <c r="C89" i="21" s="1"/>
  <c r="C81" i="21" a="1"/>
  <c r="C81" i="21" s="1"/>
  <c r="C79" i="21" a="1"/>
  <c r="C79" i="21" s="1"/>
  <c r="C43" i="21" a="1"/>
  <c r="C43" i="21" s="1"/>
  <c r="C40" i="21" a="1"/>
  <c r="C40" i="21" s="1"/>
  <c r="C73" i="21" a="1"/>
  <c r="C73" i="21" s="1"/>
  <c r="C33" i="21" a="1"/>
  <c r="C33" i="21" s="1"/>
  <c r="C54" i="21" a="1"/>
  <c r="C54" i="21" s="1"/>
  <c r="C34" i="21" a="1"/>
  <c r="C34" i="21" s="1"/>
  <c r="C78" i="21" a="1"/>
  <c r="C78" i="21" s="1"/>
  <c r="C30" i="21" a="1"/>
  <c r="C30" i="21" s="1"/>
  <c r="C35" i="21" a="1"/>
  <c r="C35" i="21" s="1"/>
  <c r="C32" i="21" a="1"/>
  <c r="C32" i="21" s="1"/>
  <c r="C83" i="21" a="1"/>
  <c r="C83" i="21" s="1"/>
  <c r="B23" i="21"/>
  <c r="B8" i="21"/>
  <c r="B54" i="21"/>
  <c r="B51" i="21"/>
  <c r="B18" i="21"/>
  <c r="B28" i="21"/>
  <c r="B69" i="21"/>
  <c r="B38" i="21"/>
  <c r="B71" i="21"/>
  <c r="B53" i="21"/>
  <c r="B76" i="21"/>
  <c r="B44" i="21"/>
  <c r="B58" i="21"/>
  <c r="B52" i="21"/>
  <c r="B70" i="21"/>
  <c r="B36" i="21"/>
  <c r="B61" i="21"/>
  <c r="B45" i="21"/>
  <c r="B48" i="21"/>
  <c r="B50" i="21"/>
  <c r="B85" i="21"/>
  <c r="B79" i="21"/>
  <c r="B90" i="21"/>
  <c r="B49" i="21"/>
  <c r="B59" i="21"/>
  <c r="B31" i="21"/>
  <c r="B72" i="21"/>
  <c r="B62" i="21"/>
  <c r="B13" i="21"/>
  <c r="B39" i="21"/>
  <c r="B89" i="21"/>
  <c r="B41" i="21"/>
  <c r="B80" i="21"/>
  <c r="B86" i="21"/>
  <c r="B74" i="21"/>
  <c r="B81" i="21"/>
  <c r="B82" i="21"/>
  <c r="B84" i="21"/>
  <c r="B88" i="21"/>
  <c r="B14" i="21"/>
  <c r="B17" i="21"/>
  <c r="B87" i="21"/>
  <c r="B63" i="21"/>
  <c r="B10" i="21"/>
  <c r="B65" i="21"/>
  <c r="B16" i="21"/>
  <c r="B43" i="21"/>
  <c r="B73" i="21"/>
  <c r="B40" i="21"/>
  <c r="B33" i="21"/>
  <c r="B34" i="21"/>
  <c r="B9" i="21"/>
  <c r="B78" i="21"/>
  <c r="B25" i="21"/>
  <c r="B30" i="21"/>
  <c r="B57" i="21"/>
  <c r="B11" i="21"/>
  <c r="B29" i="21"/>
  <c r="B20" i="21"/>
  <c r="B37" i="21"/>
  <c r="B83" i="21"/>
  <c r="B7" i="21"/>
  <c r="B21" i="21"/>
  <c r="B15" i="21"/>
  <c r="B12" i="21"/>
  <c r="B66" i="21"/>
  <c r="B46" i="21"/>
  <c r="B24" i="21"/>
  <c r="B19" i="21"/>
  <c r="B22" i="21"/>
  <c r="B42" i="21"/>
  <c r="B47" i="21"/>
  <c r="B32" i="21"/>
  <c r="B26" i="21"/>
  <c r="B27" i="21"/>
  <c r="B35" i="21"/>
  <c r="B5"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<sst xmlns="http://schemas.openxmlformats.org/spreadsheetml/2006/main" count="475" uniqueCount="135">
  <si>
    <t>Name</t>
  </si>
  <si>
    <t>Score</t>
  </si>
  <si>
    <t>Time Penalty</t>
  </si>
  <si>
    <t>Total</t>
  </si>
  <si>
    <t>Position</t>
  </si>
  <si>
    <t>Pos.</t>
  </si>
  <si>
    <t xml:space="preserve"> League pts</t>
  </si>
  <si>
    <t>League Check</t>
  </si>
  <si>
    <t>Mark Bowden</t>
  </si>
  <si>
    <t>Tim Scarbrough</t>
  </si>
  <si>
    <t>John Pickup</t>
  </si>
  <si>
    <t>Luke Davis</t>
  </si>
  <si>
    <t>David Fisher</t>
  </si>
  <si>
    <t>David Float</t>
  </si>
  <si>
    <t>Damien Hersey</t>
  </si>
  <si>
    <t>Dawn Clifford</t>
  </si>
  <si>
    <t>Jennifer Sibley</t>
  </si>
  <si>
    <t>Tony Garton</t>
  </si>
  <si>
    <t>Stephen Pallister</t>
  </si>
  <si>
    <t>Helen Murphy</t>
  </si>
  <si>
    <t>Vicki Garton</t>
  </si>
  <si>
    <t>Mike Elliot</t>
  </si>
  <si>
    <t>Organiser</t>
  </si>
  <si>
    <t>-</t>
  </si>
  <si>
    <t>For all events in this series, competitors that tie with equal final points are only separated if time penalties are incurred.  They are not separated if one competitor is faster than the other unless both sustain time penalties.  If 2 or more people tie with time penalties, the person/s with more time penalties will be demoted. If the time penalties are equal they will finish equal.</t>
  </si>
  <si>
    <t>For the purposes of the league points, team members that share one map will have equal league points but the next placed person will only have 1 less league point rather than 2.  Organiser of each event will receive pts equal to their highest score in the series at the end of the series.</t>
  </si>
  <si>
    <t>Ben Toogood</t>
  </si>
  <si>
    <t>Garry Greenstreet</t>
  </si>
  <si>
    <t>Jane Lambert</t>
  </si>
  <si>
    <t>Damon Robinson</t>
  </si>
  <si>
    <t>Chris Glew</t>
  </si>
  <si>
    <t>Sarah Boyle</t>
  </si>
  <si>
    <t>Elisabeth Storey</t>
  </si>
  <si>
    <t>League Pos.</t>
  </si>
  <si>
    <t>Women Pos.</t>
  </si>
  <si>
    <t>M/F</t>
  </si>
  <si>
    <t xml:space="preserve">Sep. </t>
  </si>
  <si>
    <t xml:space="preserve">Oct. </t>
  </si>
  <si>
    <t xml:space="preserve">Nov. </t>
  </si>
  <si>
    <t xml:space="preserve">Dec. </t>
  </si>
  <si>
    <t xml:space="preserve">Jan </t>
  </si>
  <si>
    <t xml:space="preserve">Feb. </t>
  </si>
  <si>
    <t>Mar.</t>
  </si>
  <si>
    <t>Apr.</t>
  </si>
  <si>
    <t>Organiser Points*</t>
  </si>
  <si>
    <t>Event Organiser</t>
  </si>
  <si>
    <t>No. Events Entered</t>
  </si>
  <si>
    <t xml:space="preserve">Total     </t>
  </si>
  <si>
    <t>Ashtead</t>
  </si>
  <si>
    <t>F</t>
  </si>
  <si>
    <t xml:space="preserve">*Race organisers will score points equal to their best result of the series, at the end of the series
Where teams share one map each person has received equal points. The next person has received 1 point less rather than 2.
 </t>
  </si>
  <si>
    <t>Points</t>
  </si>
  <si>
    <t>Fetcham</t>
  </si>
  <si>
    <t>Worcester Park</t>
  </si>
  <si>
    <t>Cheam</t>
  </si>
  <si>
    <t>Chessington</t>
  </si>
  <si>
    <t>Dorking</t>
  </si>
  <si>
    <t>Neil Crickmore</t>
  </si>
  <si>
    <t>Ken Bridger</t>
  </si>
  <si>
    <t>Robert McCaffrey</t>
  </si>
  <si>
    <t>Philip Morgan</t>
  </si>
  <si>
    <t>Nuno Cerqueira</t>
  </si>
  <si>
    <t>Darren Clarke</t>
  </si>
  <si>
    <t>Ian Roberts</t>
  </si>
  <si>
    <t>Steven Carle</t>
  </si>
  <si>
    <t>Steve Chandler</t>
  </si>
  <si>
    <t>Neil Frame</t>
  </si>
  <si>
    <t>Penny Marsh</t>
  </si>
  <si>
    <t>John Pittam</t>
  </si>
  <si>
    <t>David Thompson</t>
  </si>
  <si>
    <t>Abi Frame</t>
  </si>
  <si>
    <t>Emma Field</t>
  </si>
  <si>
    <t>Sophie Frame</t>
  </si>
  <si>
    <t>Sue Crickmore</t>
  </si>
  <si>
    <t>Kenneth William Bridger</t>
  </si>
  <si>
    <t>James Fraser</t>
  </si>
  <si>
    <t>Jon Pollard</t>
  </si>
  <si>
    <t>Tony Burton</t>
  </si>
  <si>
    <t>Nick Green</t>
  </si>
  <si>
    <t>Hal Jacob</t>
  </si>
  <si>
    <t>Ralph Dadswell</t>
  </si>
  <si>
    <t>Pallister Stephen</t>
  </si>
  <si>
    <t>Leo Muid</t>
  </si>
  <si>
    <t>Peter Foulkes</t>
  </si>
  <si>
    <t>Kate Horsman</t>
  </si>
  <si>
    <t>Neeraj Shah</t>
  </si>
  <si>
    <t>Simone Monahan</t>
  </si>
  <si>
    <t>Richard Kirk</t>
  </si>
  <si>
    <t>Sarah McQuaid</t>
  </si>
  <si>
    <t>Sarah Scarbrough</t>
  </si>
  <si>
    <t>Liz Horrocks</t>
  </si>
  <si>
    <t>Rob Sibley</t>
  </si>
  <si>
    <t>Pamela Gregory</t>
  </si>
  <si>
    <t>Adrian Murphy</t>
  </si>
  <si>
    <t>Justin Farhall</t>
  </si>
  <si>
    <t>Bob Reed</t>
  </si>
  <si>
    <t>Mirella Genziani</t>
  </si>
  <si>
    <t>Marietta Orsborn</t>
  </si>
  <si>
    <t>Kieran Macdonell</t>
  </si>
  <si>
    <t>Clare Lonergan</t>
  </si>
  <si>
    <t>Bethany Quy</t>
  </si>
  <si>
    <t>William Caruana</t>
  </si>
  <si>
    <t>Ashley Tilling</t>
  </si>
  <si>
    <t>Rob Beale</t>
  </si>
  <si>
    <t>Sam Rose</t>
  </si>
  <si>
    <t>Keith Morrissey</t>
  </si>
  <si>
    <t>Jessica Jones</t>
  </si>
  <si>
    <t>Bryony Crickmore</t>
  </si>
  <si>
    <t>Georgie Russell</t>
  </si>
  <si>
    <t>Rod Russell</t>
  </si>
  <si>
    <t>Casey Pearce</t>
  </si>
  <si>
    <t>Catherine Kelly</t>
  </si>
  <si>
    <t>Julian Holden</t>
  </si>
  <si>
    <t>Vanessa Lok</t>
  </si>
  <si>
    <t>Gail Caruana</t>
  </si>
  <si>
    <t>M</t>
  </si>
  <si>
    <t>Timothy Field</t>
  </si>
  <si>
    <t>Tattenham Corner</t>
  </si>
  <si>
    <t>900 (incl - 60)</t>
  </si>
  <si>
    <t>Paul Todd</t>
  </si>
  <si>
    <t>Robert Lines</t>
  </si>
  <si>
    <t>Daniel Murphy</t>
  </si>
  <si>
    <t>800 (incl - 120)</t>
  </si>
  <si>
    <t>790 (incl - 60)</t>
  </si>
  <si>
    <t>M Orsborn</t>
  </si>
  <si>
    <t>Hakon By</t>
  </si>
  <si>
    <t>730 (incl - 30)</t>
  </si>
  <si>
    <t>Stefan Claus</t>
  </si>
  <si>
    <t>Akshay Kumar</t>
  </si>
  <si>
    <t>Douglas Willetts</t>
  </si>
  <si>
    <t>620 (incl - 30)</t>
  </si>
  <si>
    <t>370 (incl - 90)</t>
  </si>
  <si>
    <t>280 (incl - 180)</t>
  </si>
  <si>
    <t>Elodie Claus</t>
  </si>
  <si>
    <t>TBC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</si>
</sst>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2"/>
      <color theme="1"/>
      <name val="Calibri"/>
      <family val="2"/>
      <scheme val="minor"/>
    </font>
    <font>
      <sz val="12"/>
      <color theme="1"/>
      <name val="Arial"/>
      <family val="2"/>
    </font>
    <font>
      <b/>
      <sz val="12"/>
      <color theme="1"/>
      <name val="Arial"/>
      <family val="2"/>
    </font>
    <font>
      <sz val="8"/>
      <name val="Calibri"/>
      <family val="2"/>
      <scheme val="minor"/>
    </font>
    <font>
      <u/>
      <sz val="11"/>
      <color theme="10"/>
      <name val="Calibri"/>
      <family val="2"/>
      <scheme val="minor"/>
    </font>
    <font>
      <u/>
      <sz val="11"/>
      <color theme="11"/>
      <name val="Calibri"/>
      <family val="2"/>
      <scheme val="minor"/>
    </font>
    <font>
      <sz val="12"/>
      <color theme="1"/>
      <name val="Arial"/>
      <family val="2"/>
    </font>
    <font>
      <sz val="12"/>
      <color theme="1"/>
      <name val="Calibri"/>
      <family val="2"/>
      <scheme val="minor"/>
    </font>
    <font>
      <sz val="11"/>
      <color theme="1"/>
      <name val="Calibri"/>
      <family val="2"/>
      <scheme val="minor"/>
    </font>
    <font>
      <sz val="10"/>
      <color rgb="FF000000"/>
      <name val="Arial"/>
      <family val="2"/>
    </font>
  </fonts>
  <fills count="2">
    <fill>
      <patternFill patternType="none"/>
    </fill>
    <fill>
      <patternFill patternType="gray125"/>
    </fill>
  </fills>
  <borders count="40">
    <border>
      <left/>
      <right/>
      <top/>
      <bottom/>
      <diagonal/>
    </border>
    <border>
      <left/>
      <right style="medium">
        <color auto="1"/>
      </right>
      <top style="medium">
        <color auto="1"/>
      </top>
      <bottom style="medium">
        <color auto="1"/>
      </bottom>
      <diagonal/>
    </border>
    <border>
      <left style="medium">
        <color rgb="FF000000"/>
      </left>
      <right style="medium">
        <color rgb="FF000000"/>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medium">
        <color rgb="FF000000"/>
      </right>
      <top style="medium">
        <color auto="1"/>
      </top>
      <bottom style="medium">
        <color auto="1"/>
      </bottom>
      <diagonal/>
    </border>
    <border>
      <left/>
      <right style="medium">
        <color rgb="FF000000"/>
      </right>
      <top style="medium">
        <color auto="1"/>
      </top>
      <bottom style="medium">
        <color auto="1"/>
      </bottom>
      <diagonal/>
    </border>
    <border>
      <left style="medium">
        <color auto="1"/>
      </left>
      <right style="medium">
        <color rgb="FF000000"/>
      </right>
      <top style="medium">
        <color auto="1"/>
      </top>
      <bottom/>
      <diagonal/>
    </border>
    <border>
      <left style="medium">
        <color rgb="FF000000"/>
      </left>
      <right style="medium">
        <color rgb="FF000000"/>
      </right>
      <top style="medium">
        <color auto="1"/>
      </top>
      <bottom/>
      <diagonal/>
    </border>
    <border>
      <left style="medium">
        <color rgb="FF000000"/>
      </left>
      <right style="medium">
        <color auto="1"/>
      </right>
      <top style="medium">
        <color auto="1"/>
      </top>
      <bottom/>
      <diagonal/>
    </border>
    <border>
      <left style="medium">
        <color auto="1"/>
      </left>
      <right style="medium">
        <color rgb="FF000000"/>
      </right>
      <top/>
      <bottom/>
      <diagonal/>
    </border>
    <border>
      <left style="medium">
        <color rgb="FF000000"/>
      </left>
      <right style="medium">
        <color auto="1"/>
      </right>
      <top/>
      <bottom/>
      <diagonal/>
    </border>
    <border>
      <left style="medium">
        <color auto="1"/>
      </left>
      <right style="medium">
        <color rgb="FF000000"/>
      </right>
      <top/>
      <bottom style="medium">
        <color auto="1"/>
      </bottom>
      <diagonal/>
    </border>
    <border>
      <left style="medium">
        <color rgb="FF000000"/>
      </left>
      <right style="medium">
        <color rgb="FF000000"/>
      </right>
      <top/>
      <bottom style="medium">
        <color auto="1"/>
      </bottom>
      <diagonal/>
    </border>
    <border>
      <left style="medium">
        <color rgb="FF000000"/>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style="thin">
        <color rgb="FF000000"/>
      </right>
      <top style="medium">
        <color auto="1"/>
      </top>
      <bottom/>
      <diagonal/>
    </border>
    <border>
      <left style="thin">
        <color rgb="FF000000"/>
      </left>
      <right style="thin">
        <color rgb="FF000000"/>
      </right>
      <top style="medium">
        <color auto="1"/>
      </top>
      <bottom style="thin">
        <color rgb="FF000000"/>
      </bottom>
      <diagonal/>
    </border>
    <border>
      <left style="thin">
        <color rgb="FF000000"/>
      </left>
      <right style="thin">
        <color rgb="FF000000"/>
      </right>
      <top style="medium">
        <color auto="1"/>
      </top>
      <bottom/>
      <diagonal/>
    </border>
    <border>
      <left style="medium">
        <color auto="1"/>
      </left>
      <right style="thin">
        <color rgb="FF000000"/>
      </right>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style="thin">
        <color rgb="FF000000"/>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rgb="FF000000"/>
      </left>
      <right style="medium">
        <color auto="1"/>
      </right>
      <top style="medium">
        <color auto="1"/>
      </top>
      <bottom/>
      <diagonal/>
    </border>
    <border>
      <left style="thin">
        <color rgb="FF000000"/>
      </left>
      <right style="medium">
        <color auto="1"/>
      </right>
      <top/>
      <bottom style="medium">
        <color auto="1"/>
      </bottom>
      <diagonal/>
    </border>
  </borders>
  <cellStyleXfs count="29">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8" fillId="0" borderId="0"/>
    <xf numFmtId="0" fontId="10" fillId="0" borderId="0"/>
    <xf numFmtId="0" fontId="9" fillId="0" borderId="0"/>
    <xf numFmtId="0" fontId="1" fillId="0" borderId="0"/>
  </cellStyleXfs>
  <cellXfs count="72">
    <xf numFmtId="0" fontId="0" fillId="0" borderId="0" xfId="0"/>
    <xf numFmtId="0" fontId="2" fillId="0" borderId="2" xfId="0" applyFont="1" applyBorder="1" applyAlignment="1">
      <alignment horizontal="center" vertical="center" wrapText="1"/>
    </xf>
    <xf numFmtId="0" fontId="2" fillId="0" borderId="7" xfId="0" applyFont="1" applyBorder="1" applyAlignment="1">
      <alignment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0" xfId="0" applyFont="1" applyBorder="1" applyAlignment="1">
      <alignment vertical="center" wrapText="1"/>
    </xf>
    <xf numFmtId="0" fontId="2" fillId="0" borderId="11" xfId="0" applyFont="1" applyBorder="1" applyAlignment="1">
      <alignment horizontal="center" vertical="center" wrapText="1"/>
    </xf>
    <xf numFmtId="0" fontId="2" fillId="0" borderId="12" xfId="0" applyFont="1" applyBorder="1" applyAlignment="1">
      <alignment vertical="center" wrapText="1"/>
    </xf>
    <xf numFmtId="0" fontId="2" fillId="0" borderId="13" xfId="0" applyFont="1" applyBorder="1" applyAlignment="1">
      <alignment horizontal="center" vertical="center" wrapText="1"/>
    </xf>
    <xf numFmtId="0" fontId="2" fillId="0" borderId="14" xfId="0" applyFont="1" applyBorder="1" applyAlignment="1">
      <alignment horizontal="center" vertical="center" wrapText="1"/>
    </xf>
    <xf numFmtId="0" fontId="3" fillId="0" borderId="5" xfId="0" applyFont="1" applyBorder="1" applyAlignment="1">
      <alignment vertical="center" wrapText="1"/>
    </xf>
    <xf numFmtId="0" fontId="3" fillId="0" borderId="6" xfId="0" applyFont="1" applyBorder="1" applyAlignment="1">
      <alignment horizontal="center" vertical="center" wrapText="1"/>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3" fillId="0" borderId="36" xfId="0" applyFont="1" applyFill="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xf>
    <xf numFmtId="0" fontId="2" fillId="0" borderId="0" xfId="0" applyFont="1" applyAlignment="1">
      <alignment vertical="center"/>
    </xf>
    <xf numFmtId="0" fontId="2" fillId="0" borderId="16" xfId="0" applyFont="1" applyBorder="1" applyAlignment="1">
      <alignment horizontal="center" vertical="center"/>
    </xf>
    <xf numFmtId="0" fontId="2" fillId="0" borderId="17" xfId="0" applyFont="1" applyBorder="1" applyAlignment="1">
      <alignment horizontal="center" vertical="center"/>
    </xf>
    <xf numFmtId="0" fontId="2" fillId="0" borderId="15" xfId="0" applyFont="1" applyBorder="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center" wrapText="1"/>
    </xf>
    <xf numFmtId="0" fontId="7" fillId="0" borderId="0" xfId="0" applyFont="1" applyAlignment="1">
      <alignment horizontal="center" vertical="center" wrapText="1"/>
    </xf>
    <xf numFmtId="0" fontId="7" fillId="0" borderId="0" xfId="0" applyFont="1" applyAlignment="1">
      <alignment vertical="center"/>
    </xf>
    <xf numFmtId="0" fontId="2" fillId="0" borderId="18" xfId="0" applyFont="1" applyFill="1" applyBorder="1" applyAlignment="1">
      <alignment horizontal="left" vertical="center" wrapText="1"/>
    </xf>
    <xf numFmtId="0" fontId="2" fillId="0" borderId="18" xfId="0" applyFont="1" applyBorder="1" applyAlignment="1">
      <alignment horizontal="left" vertical="center" wrapText="1"/>
    </xf>
    <xf numFmtId="0" fontId="2" fillId="0" borderId="18" xfId="0" applyFont="1" applyBorder="1" applyAlignment="1">
      <alignment horizontal="center" vertical="center"/>
    </xf>
    <xf numFmtId="0" fontId="2" fillId="0" borderId="18"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34"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29" xfId="0" applyFont="1" applyBorder="1" applyAlignment="1">
      <alignment horizontal="center" vertical="center" wrapText="1"/>
    </xf>
    <xf numFmtId="0" fontId="2" fillId="0" borderId="18" xfId="0" applyFont="1" applyFill="1" applyBorder="1" applyAlignment="1">
      <alignment horizontal="center" vertical="center" wrapText="1"/>
    </xf>
    <xf numFmtId="0" fontId="2" fillId="0" borderId="18" xfId="0" applyFont="1" applyBorder="1" applyAlignment="1">
      <alignment vertical="center" wrapText="1"/>
    </xf>
    <xf numFmtId="0" fontId="2" fillId="0" borderId="37" xfId="0" applyFont="1" applyBorder="1" applyAlignment="1">
      <alignment horizontal="left" vertical="center" wrapText="1"/>
    </xf>
    <xf numFmtId="0" fontId="2" fillId="0" borderId="35" xfId="0" applyFont="1" applyBorder="1" applyAlignment="1">
      <alignment horizontal="center" vertical="center"/>
    </xf>
    <xf numFmtId="0" fontId="3" fillId="0" borderId="1" xfId="0" applyFont="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0" fontId="1" fillId="0" borderId="0" xfId="28"/>
    <xf numFmtId="14" fontId="1" fillId="0" borderId="0" xfId="28" applyNumberFormat="1"/>
    <xf numFmtId="46" fontId="2" fillId="0" borderId="0" xfId="0" applyNumberFormat="1" applyFont="1" applyAlignment="1">
      <alignment vertical="center"/>
    </xf>
    <xf numFmtId="20" fontId="2" fillId="0" borderId="0" xfId="0" applyNumberFormat="1" applyFont="1" applyAlignment="1">
      <alignment vertical="center"/>
    </xf>
    <xf numFmtId="14" fontId="2" fillId="0" borderId="0" xfId="0" applyNumberFormat="1" applyFont="1" applyAlignment="1">
      <alignment vertical="center"/>
    </xf>
    <xf numFmtId="21" fontId="2" fillId="0" borderId="0" xfId="0" applyNumberFormat="1" applyFont="1" applyAlignment="1">
      <alignment vertical="center"/>
    </xf>
    <xf numFmtId="0" fontId="2" fillId="0" borderId="0" xfId="0" applyFont="1" applyBorder="1" applyAlignment="1">
      <alignment horizontal="center" vertical="center"/>
    </xf>
    <xf numFmtId="14" fontId="0" fillId="0" borderId="0" xfId="0" applyNumberFormat="1"/>
    <xf numFmtId="0" fontId="2" fillId="0" borderId="0" xfId="0" applyFont="1" applyAlignment="1">
      <alignment horizontal="center"/>
    </xf>
    <xf numFmtId="0" fontId="2" fillId="0" borderId="34" xfId="0" applyFont="1" applyFill="1" applyBorder="1" applyAlignment="1">
      <alignment horizontal="left" vertical="center" wrapText="1"/>
    </xf>
    <xf numFmtId="0" fontId="3" fillId="0" borderId="20" xfId="0" applyFont="1" applyBorder="1" applyAlignment="1">
      <alignment horizontal="center" vertical="center" textRotation="90" wrapText="1"/>
    </xf>
    <xf numFmtId="0" fontId="3" fillId="0" borderId="23" xfId="0" applyFont="1" applyBorder="1" applyAlignment="1">
      <alignment horizontal="center" vertical="center" textRotation="90" wrapText="1"/>
    </xf>
    <xf numFmtId="0" fontId="2" fillId="0" borderId="2" xfId="0" applyFont="1" applyBorder="1" applyAlignment="1">
      <alignment horizontal="center" vertical="center"/>
    </xf>
    <xf numFmtId="0" fontId="2" fillId="0" borderId="35"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 xfId="0" applyFont="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0" fontId="3" fillId="0" borderId="19" xfId="0" applyFont="1" applyBorder="1" applyAlignment="1">
      <alignment horizontal="center" vertical="center" textRotation="90" wrapText="1"/>
    </xf>
    <xf numFmtId="0" fontId="3" fillId="0" borderId="22" xfId="0" applyFont="1" applyBorder="1" applyAlignment="1">
      <alignment horizontal="center" vertical="center" textRotation="90" wrapText="1"/>
    </xf>
    <xf numFmtId="0" fontId="3" fillId="0" borderId="21" xfId="0" applyFont="1" applyBorder="1" applyAlignment="1">
      <alignment horizontal="center" vertical="center" textRotation="90" wrapText="1"/>
    </xf>
    <xf numFmtId="0" fontId="3" fillId="0" borderId="24" xfId="0" applyFont="1" applyBorder="1" applyAlignment="1">
      <alignment horizontal="center" vertical="center" textRotation="90" wrapText="1"/>
    </xf>
    <xf numFmtId="0" fontId="3" fillId="0" borderId="38" xfId="0" applyFont="1" applyBorder="1" applyAlignment="1">
      <alignment horizontal="center" vertical="center" textRotation="90" wrapText="1"/>
    </xf>
    <xf numFmtId="0" fontId="3" fillId="0" borderId="39" xfId="0" applyFont="1" applyBorder="1" applyAlignment="1">
      <alignment horizontal="center" vertical="center" textRotation="90" wrapText="1"/>
    </xf>
    <xf numFmtId="0" fontId="2" fillId="0" borderId="0" xfId="28" applyFont="1" applyAlignment="1">
      <alignment horizontal="center"/>
    </xf>
    <xf numFmtId="0" fontId="2" fillId="0" borderId="0" xfId="28" applyFont="1" applyBorder="1" applyAlignment="1">
      <alignment horizontal="center"/>
    </xf>
  </cellXfs>
  <cellStyles count="29">
    <cellStyle name="Followed Hyperlink" xfId="24" builtinId="9" hidden="1"/>
    <cellStyle name="Followed Hyperlink" xfId="22" builtinId="9" hidden="1"/>
    <cellStyle name="Followed Hyperlink" xfId="14" builtinId="9" hidden="1"/>
    <cellStyle name="Followed Hyperlink" xfId="6" builtinId="9" hidden="1"/>
    <cellStyle name="Followed Hyperlink" xfId="20" builtinId="9" hidden="1"/>
    <cellStyle name="Followed Hyperlink" xfId="10" builtinId="9" hidden="1"/>
    <cellStyle name="Followed Hyperlink" xfId="12" builtinId="9" hidden="1"/>
    <cellStyle name="Followed Hyperlink" xfId="8" builtinId="9" hidden="1"/>
    <cellStyle name="Followed Hyperlink" xfId="16" builtinId="9" hidden="1"/>
    <cellStyle name="Followed Hyperlink" xfId="18" builtinId="9" hidden="1"/>
    <cellStyle name="Followed Hyperlink" xfId="4" builtinId="9" hidden="1"/>
    <cellStyle name="Followed Hyperlink" xfId="2" builtinId="9" hidden="1"/>
    <cellStyle name="Hyperlink" xfId="23" builtinId="8" hidden="1"/>
    <cellStyle name="Hyperlink" xfId="19" builtinId="8" hidden="1"/>
    <cellStyle name="Hyperlink" xfId="21" builtinId="8" hidden="1"/>
    <cellStyle name="Hyperlink" xfId="11" builtinId="8" hidden="1"/>
    <cellStyle name="Hyperlink" xfId="13" builtinId="8" hidden="1"/>
    <cellStyle name="Hyperlink" xfId="15" builtinId="8" hidden="1"/>
    <cellStyle name="Hyperlink" xfId="17" builtinId="8"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ellStyle name="Normal 2" xfId="25" xr:uid="{00000000-0005-0000-0000-000019000000}"/>
    <cellStyle name="Normal 2 2" xfId="27" xr:uid="{00000000-0005-0000-0000-00001A000000}"/>
    <cellStyle name="Normal 3" xfId="26" xr:uid="{00000000-0005-0000-0000-00001B000000}"/>
    <cellStyle name="Normal 4" xfId="28" xr:uid="{2B053D70-243C-164E-A23C-8D47E4676866}"/>
  </cellStyles>
  <dxfs count="16">
    <dxf>
      <font>
        <color rgb="FF9C0006"/>
      </font>
      <fill>
        <patternFill>
          <bgColor rgb="FFFFC7CE"/>
        </patternFill>
      </fill>
    </dxf>
    <dxf>
      <fill>
        <patternFill>
          <bgColor theme="7" tint="0.59996337778862885"/>
        </patternFill>
      </fill>
    </dxf>
    <dxf>
      <font>
        <color rgb="FF9C0006"/>
      </font>
      <fill>
        <patternFill patternType="solid">
          <fgColor indexed="64"/>
          <bgColor theme="0" tint="-0.14999847407452621"/>
        </patternFill>
      </fill>
    </dxf>
    <dxf>
      <fill>
        <patternFill>
          <bgColor theme="7" tint="0.59996337778862885"/>
        </patternFill>
      </fill>
    </dxf>
    <dxf>
      <font>
        <color rgb="FF9C0006"/>
      </font>
      <fill>
        <patternFill patternType="solid">
          <fgColor indexed="64"/>
          <bgColor theme="0" tint="-0.14999847407452621"/>
        </patternFill>
      </fill>
    </dxf>
    <dxf>
      <font>
        <color rgb="FF9C0006"/>
      </font>
      <fill>
        <patternFill patternType="solid">
          <fgColor indexed="64"/>
          <bgColor theme="0" tint="-0.149998474074526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J45"/>
  <sheetViews>
    <sheetView topLeftCell="A26" workbookViewId="0">
      <selection activeCell="C9" sqref="C9"/>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Fetcham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x14ac:dyDescent="0.35">
      <c r="B4" s="2" t="s">
        <v>9</v>
      </c>
      <c r="C4" s="3">
        <v>1300</v>
      </c>
      <c r="D4" s="3"/>
      <c r="E4" s="3">
        <f t="shared" ref="E4:E40" si="0">C4-D4</f>
        <v>1300</v>
      </c>
      <c r="F4" s="3">
        <f t="array" ref="F4">COUNTIF($E$4:$E$78,"&gt;"&amp;E4)+1+SUMPRODUCT(--($E$4:$E$78=E4),--($D$4:$D$78&lt;D4))</f>
        <v>1</v>
      </c>
      <c r="G4" s="3" t="str">
        <f t="shared" ref="G4:G40" si="1">F4&amp;IF(AND(MOD(ABS(F4),100)&gt;10,MOD(ABS(F4),100)&lt;14),"th",CHOOSE(MOD(ABS(F4),10)+1,"th","st","nd","rd","th","th","th","th","th","th"))</f>
        <v>1st</v>
      </c>
      <c r="H4" s="4">
        <f>VLOOKUP(F4,League_Points!$A$2:$B$61,2)</f>
        <v>50</v>
      </c>
      <c r="J4" s="24">
        <f>IF(LEN(B4)-LEN(SUBSTITUTE(B4,"&amp;",""))&gt;0,CONCATENATE(COUNTIF('League Results'!$D$5:$D$91,MID(B4,1,FIND(" &amp; ",B4)-1)),"-",COUNTIF('League Results'!$D$5:$D$91,MID(B4,FIND(" &amp; ",B4)+3,LEN(B4)))),COUNTIF('League Results'!$D$5:$D$91,B4))</f>
        <v>1</v>
      </c>
    </row>
    <row r="5" spans="2:10" x14ac:dyDescent="0.35">
      <c r="B5" s="5" t="s">
        <v>14</v>
      </c>
      <c r="C5" s="1">
        <v>1210</v>
      </c>
      <c r="D5" s="1"/>
      <c r="E5" s="1">
        <f t="shared" si="0"/>
        <v>1210</v>
      </c>
      <c r="F5" s="1">
        <f t="array" ref="F5">COUNTIF($E$4:$E$78,"&gt;"&amp;E5)+1+SUMPRODUCT(--($E$4:$E$78=E5),--($D$4:$D$78&lt;D5))</f>
        <v>2</v>
      </c>
      <c r="G5" s="1" t="str">
        <f t="shared" si="1"/>
        <v>2nd</v>
      </c>
      <c r="H5" s="6">
        <f>VLOOKUP(F5,League_Points!$A$2:$B$61,2)</f>
        <v>49</v>
      </c>
      <c r="J5" s="22">
        <f>IF(LEN(B5)-LEN(SUBSTITUTE(B5,"&amp;",""))&gt;0,CONCATENATE(COUNTIF('League Results'!$D$5:$D$91,MID(B5,1,FIND(" &amp; ",B5)-1)),"-",COUNTIF('League Results'!$D$5:$D$91,MID(B5,FIND(" &amp; ",B5)+3,LEN(B5)))),COUNTIF('League Results'!$D$5:$D$91,B5))</f>
        <v>1</v>
      </c>
    </row>
    <row r="6" spans="2:10" x14ac:dyDescent="0.35">
      <c r="B6" s="5" t="s">
        <v>11</v>
      </c>
      <c r="C6" s="1">
        <v>1130</v>
      </c>
      <c r="D6" s="1"/>
      <c r="E6" s="1">
        <f t="shared" si="0"/>
        <v>1130</v>
      </c>
      <c r="F6" s="1">
        <f t="array" ref="F6">COUNTIF($E$4:$E$78,"&gt;"&amp;E6)+1+SUMPRODUCT(--($E$4:$E$78=E6),--($D$4:$D$78&lt;D6))</f>
        <v>3</v>
      </c>
      <c r="G6" s="1" t="str">
        <f t="shared" si="1"/>
        <v>3rd</v>
      </c>
      <c r="H6" s="6">
        <f>VLOOKUP(F6,League_Points!$A$2:$B$61,2)</f>
        <v>48</v>
      </c>
      <c r="J6" s="22">
        <f>IF(LEN(B6)-LEN(SUBSTITUTE(B6,"&amp;",""))&gt;0,CONCATENATE(COUNTIF('League Results'!$D$5:$D$91,MID(B6,1,FIND(" &amp; ",B6)-1)),"-",COUNTIF('League Results'!$D$5:$D$91,MID(B6,FIND(" &amp; ",B6)+3,LEN(B6)))),COUNTIF('League Results'!$D$5:$D$91,B6))</f>
        <v>1</v>
      </c>
    </row>
    <row r="7" spans="2:10" x14ac:dyDescent="0.35">
      <c r="B7" s="5" t="s">
        <v>57</v>
      </c>
      <c r="C7" s="1">
        <v>1130</v>
      </c>
      <c r="D7" s="1"/>
      <c r="E7" s="1">
        <f t="shared" si="0"/>
        <v>1130</v>
      </c>
      <c r="F7" s="1">
        <f t="array" ref="F7">COUNTIF($E$4:$E$78,"&gt;"&amp;E7)+1+SUMPRODUCT(--($E$4:$E$78=E7),--($D$4:$D$78&lt;D7))</f>
        <v>3</v>
      </c>
      <c r="G7" s="1" t="str">
        <f t="shared" si="1"/>
        <v>3rd</v>
      </c>
      <c r="H7" s="6">
        <f>VLOOKUP(F7,League_Points!$A$2:$B$61,2)</f>
        <v>48</v>
      </c>
      <c r="J7" s="22">
        <f>IF(LEN(B7)-LEN(SUBSTITUTE(B7,"&amp;",""))&gt;0,CONCATENATE(COUNTIF('League Results'!$D$5:$D$91,MID(B7,1,FIND(" &amp; ",B7)-1)),"-",COUNTIF('League Results'!$D$5:$D$91,MID(B7,FIND(" &amp; ",B7)+3,LEN(B7)))),COUNTIF('League Results'!$D$5:$D$91,B7))</f>
        <v>1</v>
      </c>
    </row>
    <row r="8" spans="2:10" x14ac:dyDescent="0.35">
      <c r="B8" s="5" t="s">
        <v>27</v>
      </c>
      <c r="C8" s="1">
        <v>1100</v>
      </c>
      <c r="D8" s="1"/>
      <c r="E8" s="1">
        <f t="shared" si="0"/>
        <v>1100</v>
      </c>
      <c r="F8" s="1">
        <f t="array" ref="F8">COUNTIF($E$4:$E$78,"&gt;"&amp;E8)+1+SUMPRODUCT(--($E$4:$E$78=E8),--($D$4:$D$78&lt;D8))</f>
        <v>5</v>
      </c>
      <c r="G8" s="1" t="str">
        <f t="shared" si="1"/>
        <v>5th</v>
      </c>
      <c r="H8" s="6">
        <f>VLOOKUP(F8,League_Points!$A$2:$B$61,2)</f>
        <v>46</v>
      </c>
      <c r="J8" s="22">
        <f>IF(LEN(B8)-LEN(SUBSTITUTE(B8,"&amp;",""))&gt;0,CONCATENATE(COUNTIF('League Results'!$D$5:$D$91,MID(B8,1,FIND(" &amp; ",B8)-1)),"-",COUNTIF('League Results'!$D$5:$D$91,MID(B8,FIND(" &amp; ",B8)+3,LEN(B8)))),COUNTIF('League Results'!$D$5:$D$91,B8))</f>
        <v>1</v>
      </c>
    </row>
    <row r="9" spans="2:10" x14ac:dyDescent="0.35">
      <c r="B9" s="5" t="s">
        <v>58</v>
      </c>
      <c r="C9" s="1">
        <v>1090</v>
      </c>
      <c r="D9" s="1"/>
      <c r="E9" s="1">
        <f t="shared" si="0"/>
        <v>1090</v>
      </c>
      <c r="F9" s="1">
        <f t="array" ref="F9">COUNTIF($E$4:$E$78,"&gt;"&amp;E9)+1+SUMPRODUCT(--($E$4:$E$78=E9),--($D$4:$D$78&lt;D9))</f>
        <v>6</v>
      </c>
      <c r="G9" s="1" t="str">
        <f t="shared" si="1"/>
        <v>6th</v>
      </c>
      <c r="H9" s="6">
        <f>VLOOKUP(F9,League_Points!$A$2:$B$61,2)</f>
        <v>45</v>
      </c>
      <c r="J9" s="22">
        <f>IF(LEN(B9)-LEN(SUBSTITUTE(B9,"&amp;",""))&gt;0,CONCATENATE(COUNTIF('League Results'!$D$5:$D$91,MID(B9,1,FIND(" &amp; ",B9)-1)),"-",COUNTIF('League Results'!$D$5:$D$91,MID(B9,FIND(" &amp; ",B9)+3,LEN(B9)))),COUNTIF('League Results'!$D$5:$D$91,B9))</f>
        <v>1</v>
      </c>
    </row>
    <row r="10" spans="2:10" x14ac:dyDescent="0.35">
      <c r="B10" s="5" t="s">
        <v>8</v>
      </c>
      <c r="C10" s="1">
        <v>1090</v>
      </c>
      <c r="D10" s="1">
        <v>30</v>
      </c>
      <c r="E10" s="1">
        <f t="shared" si="0"/>
        <v>1060</v>
      </c>
      <c r="F10" s="1">
        <f t="array" ref="F10">COUNTIF($E$4:$E$78,"&gt;"&amp;E10)+1+SUMPRODUCT(--($E$4:$E$78=E10),--($D$4:$D$78&lt;D10))</f>
        <v>7</v>
      </c>
      <c r="G10" s="1" t="str">
        <f t="shared" si="1"/>
        <v>7th</v>
      </c>
      <c r="H10" s="6">
        <f>VLOOKUP(F10,League_Points!$A$2:$B$61,2)</f>
        <v>44</v>
      </c>
      <c r="J10" s="22">
        <f>IF(LEN(B10)-LEN(SUBSTITUTE(B10,"&amp;",""))&gt;0,CONCATENATE(COUNTIF('League Results'!$D$5:$D$91,MID(B10,1,FIND(" &amp; ",B10)-1)),"-",COUNTIF('League Results'!$D$5:$D$91,MID(B10,FIND(" &amp; ",B10)+3,LEN(B10)))),COUNTIF('League Results'!$D$5:$D$91,B10))</f>
        <v>1</v>
      </c>
    </row>
    <row r="11" spans="2:10" ht="15" customHeight="1" x14ac:dyDescent="0.35">
      <c r="B11" s="5" t="s">
        <v>59</v>
      </c>
      <c r="C11" s="1">
        <v>1100</v>
      </c>
      <c r="D11" s="1">
        <v>60</v>
      </c>
      <c r="E11" s="1">
        <f t="shared" si="0"/>
        <v>1040</v>
      </c>
      <c r="F11" s="1">
        <f t="array" ref="F11">COUNTIF($E$4:$E$78,"&gt;"&amp;E11)+1+SUMPRODUCT(--($E$4:$E$78=E11),--($D$4:$D$78&lt;D11))</f>
        <v>8</v>
      </c>
      <c r="G11" s="1" t="str">
        <f t="shared" si="1"/>
        <v>8th</v>
      </c>
      <c r="H11" s="6">
        <f>VLOOKUP(F11,League_Points!$A$2:$B$61,2)</f>
        <v>43</v>
      </c>
      <c r="J11" s="22">
        <f>IF(LEN(B11)-LEN(SUBSTITUTE(B11,"&amp;",""))&gt;0,CONCATENATE(COUNTIF('League Results'!$D$5:$D$91,MID(B11,1,FIND(" &amp; ",B11)-1)),"-",COUNTIF('League Results'!$D$5:$D$91,MID(B11,FIND(" &amp; ",B11)+3,LEN(B11)))),COUNTIF('League Results'!$D$5:$D$91,B11))</f>
        <v>1</v>
      </c>
    </row>
    <row r="12" spans="2:10" x14ac:dyDescent="0.35">
      <c r="B12" s="5" t="s">
        <v>26</v>
      </c>
      <c r="C12" s="1">
        <v>1020</v>
      </c>
      <c r="D12" s="1"/>
      <c r="E12" s="1">
        <f t="shared" si="0"/>
        <v>1020</v>
      </c>
      <c r="F12" s="1">
        <f t="array" ref="F12">COUNTIF($E$4:$E$78,"&gt;"&amp;E12)+1+SUMPRODUCT(--($E$4:$E$78=E12),--($D$4:$D$78&lt;D12))</f>
        <v>9</v>
      </c>
      <c r="G12" s="1" t="str">
        <f t="shared" si="1"/>
        <v>9th</v>
      </c>
      <c r="H12" s="6">
        <f>VLOOKUP(F12,League_Points!$A$2:$B$61,2)</f>
        <v>42</v>
      </c>
      <c r="J12" s="22">
        <f>IF(LEN(B12)-LEN(SUBSTITUTE(B12,"&amp;",""))&gt;0,CONCATENATE(COUNTIF('League Results'!$D$5:$D$91,MID(B12,1,FIND(" &amp; ",B12)-1)),"-",COUNTIF('League Results'!$D$5:$D$91,MID(B12,FIND(" &amp; ",B12)+3,LEN(B12)))),COUNTIF('League Results'!$D$5:$D$91,B12))</f>
        <v>1</v>
      </c>
    </row>
    <row r="13" spans="2:10" x14ac:dyDescent="0.35">
      <c r="B13" s="5" t="s">
        <v>60</v>
      </c>
      <c r="C13" s="1">
        <v>1020</v>
      </c>
      <c r="D13" s="1"/>
      <c r="E13" s="1">
        <f t="shared" si="0"/>
        <v>1020</v>
      </c>
      <c r="F13" s="1">
        <f t="array" ref="F13">COUNTIF($E$4:$E$78,"&gt;"&amp;E13)+1+SUMPRODUCT(--($E$4:$E$78=E13),--($D$4:$D$78&lt;D13))</f>
        <v>9</v>
      </c>
      <c r="G13" s="1" t="str">
        <f t="shared" si="1"/>
        <v>9th</v>
      </c>
      <c r="H13" s="6">
        <f>VLOOKUP(F13,League_Points!$A$2:$B$61,2)</f>
        <v>42</v>
      </c>
      <c r="J13" s="22">
        <f>IF(LEN(B13)-LEN(SUBSTITUTE(B13,"&amp;",""))&gt;0,CONCATENATE(COUNTIF('League Results'!$D$5:$D$91,MID(B13,1,FIND(" &amp; ",B13)-1)),"-",COUNTIF('League Results'!$D$5:$D$91,MID(B13,FIND(" &amp; ",B13)+3,LEN(B13)))),COUNTIF('League Results'!$D$5:$D$91,B13))</f>
        <v>1</v>
      </c>
    </row>
    <row r="14" spans="2:10" x14ac:dyDescent="0.35">
      <c r="B14" s="5" t="s">
        <v>69</v>
      </c>
      <c r="C14" s="1">
        <v>1020</v>
      </c>
      <c r="D14" s="1"/>
      <c r="E14" s="1">
        <f t="shared" si="0"/>
        <v>1020</v>
      </c>
      <c r="F14" s="1">
        <f t="array" ref="F14">COUNTIF($E$4:$E$78,"&gt;"&amp;E14)+1+SUMPRODUCT(--($E$4:$E$78=E14),--($D$4:$D$78&lt;D14))</f>
        <v>9</v>
      </c>
      <c r="G14" s="1" t="str">
        <f t="shared" si="1"/>
        <v>9th</v>
      </c>
      <c r="H14" s="6">
        <f>VLOOKUP(F14,League_Points!$A$2:$B$61,2)</f>
        <v>42</v>
      </c>
      <c r="J14" s="22">
        <f>IF(LEN(B14)-LEN(SUBSTITUTE(B14,"&amp;",""))&gt;0,CONCATENATE(COUNTIF('League Results'!$D$5:$D$91,MID(B14,1,FIND(" &amp; ",B14)-1)),"-",COUNTIF('League Results'!$D$5:$D$91,MID(B14,FIND(" &amp; ",B14)+3,LEN(B14)))),COUNTIF('League Results'!$D$5:$D$91,B14))</f>
        <v>1</v>
      </c>
    </row>
    <row r="15" spans="2:10" x14ac:dyDescent="0.35">
      <c r="B15" s="5" t="s">
        <v>61</v>
      </c>
      <c r="C15" s="1">
        <v>970</v>
      </c>
      <c r="D15" s="1"/>
      <c r="E15" s="1">
        <f t="shared" si="0"/>
        <v>970</v>
      </c>
      <c r="F15" s="1">
        <f t="array" ref="F15">COUNTIF($E$4:$E$78,"&gt;"&amp;E15)+1+SUMPRODUCT(--($E$4:$E$78=E15),--($D$4:$D$78&lt;D15))</f>
        <v>12</v>
      </c>
      <c r="G15" s="1" t="str">
        <f t="shared" si="1"/>
        <v>12th</v>
      </c>
      <c r="H15" s="6">
        <f>VLOOKUP(F15,League_Points!$A$2:$B$61,2)</f>
        <v>39</v>
      </c>
      <c r="J15" s="22">
        <f>IF(LEN(B15)-LEN(SUBSTITUTE(B15,"&amp;",""))&gt;0,CONCATENATE(COUNTIF('League Results'!$D$5:$D$91,MID(B15,1,FIND(" &amp; ",B15)-1)),"-",COUNTIF('League Results'!$D$5:$D$91,MID(B15,FIND(" &amp; ",B15)+3,LEN(B15)))),COUNTIF('League Results'!$D$5:$D$91,B15))</f>
        <v>1</v>
      </c>
    </row>
    <row r="16" spans="2:10" x14ac:dyDescent="0.35">
      <c r="B16" s="5" t="s">
        <v>62</v>
      </c>
      <c r="C16" s="1">
        <v>1030</v>
      </c>
      <c r="D16" s="1">
        <v>60</v>
      </c>
      <c r="E16" s="1">
        <f t="shared" si="0"/>
        <v>970</v>
      </c>
      <c r="F16" s="1">
        <f t="array" ref="F16">COUNTIF($E$4:$E$78,"&gt;"&amp;E16)+1+SUMPRODUCT(--($E$4:$E$78=E16),--($D$4:$D$78&lt;D16))</f>
        <v>13</v>
      </c>
      <c r="G16" s="1" t="str">
        <f t="shared" si="1"/>
        <v>13th</v>
      </c>
      <c r="H16" s="6">
        <f>VLOOKUP(F16,League_Points!$A$2:$B$61,2)</f>
        <v>38</v>
      </c>
      <c r="J16" s="22">
        <f>IF(LEN(B16)-LEN(SUBSTITUTE(B16,"&amp;",""))&gt;0,CONCATENATE(COUNTIF('League Results'!$D$5:$D$91,MID(B16,1,FIND(" &amp; ",B16)-1)),"-",COUNTIF('League Results'!$D$5:$D$91,MID(B16,FIND(" &amp; ",B16)+3,LEN(B16)))),COUNTIF('League Results'!$D$5:$D$91,B16))</f>
        <v>1</v>
      </c>
    </row>
    <row r="17" spans="2:10" x14ac:dyDescent="0.35">
      <c r="B17" s="5" t="s">
        <v>18</v>
      </c>
      <c r="C17" s="1">
        <v>990</v>
      </c>
      <c r="D17" s="1">
        <v>60</v>
      </c>
      <c r="E17" s="1">
        <f t="shared" si="0"/>
        <v>930</v>
      </c>
      <c r="F17" s="1">
        <f t="array" ref="F17">COUNTIF($E$4:$E$78,"&gt;"&amp;E17)+1+SUMPRODUCT(--($E$4:$E$78=E17),--($D$4:$D$78&lt;D17))</f>
        <v>14</v>
      </c>
      <c r="G17" s="1" t="str">
        <f t="shared" si="1"/>
        <v>14th</v>
      </c>
      <c r="H17" s="6">
        <f>VLOOKUP(F17,League_Points!$A$2:$B$61,2)</f>
        <v>37</v>
      </c>
      <c r="J17" s="22">
        <f>IF(LEN(B17)-LEN(SUBSTITUTE(B17,"&amp;",""))&gt;0,CONCATENATE(COUNTIF('League Results'!$D$5:$D$91,MID(B17,1,FIND(" &amp; ",B17)-1)),"-",COUNTIF('League Results'!$D$5:$D$91,MID(B17,FIND(" &amp; ",B17)+3,LEN(B17)))),COUNTIF('League Results'!$D$5:$D$91,B17))</f>
        <v>1</v>
      </c>
    </row>
    <row r="18" spans="2:10" x14ac:dyDescent="0.35">
      <c r="B18" s="5" t="s">
        <v>13</v>
      </c>
      <c r="C18" s="1">
        <v>910</v>
      </c>
      <c r="D18" s="1"/>
      <c r="E18" s="1">
        <f t="shared" si="0"/>
        <v>910</v>
      </c>
      <c r="F18" s="1">
        <f t="array" ref="F18">COUNTIF($E$4:$E$78,"&gt;"&amp;E18)+1+SUMPRODUCT(--($E$4:$E$78=E18),--($D$4:$D$78&lt;D18))</f>
        <v>15</v>
      </c>
      <c r="G18" s="1" t="str">
        <f t="shared" si="1"/>
        <v>15th</v>
      </c>
      <c r="H18" s="6">
        <f>VLOOKUP(F18,League_Points!$A$2:$B$61,2)</f>
        <v>36</v>
      </c>
      <c r="J18" s="22">
        <f>IF(LEN(B18)-LEN(SUBSTITUTE(B18,"&amp;",""))&gt;0,CONCATENATE(COUNTIF('League Results'!$D$5:$D$91,MID(B18,1,FIND(" &amp; ",B18)-1)),"-",COUNTIF('League Results'!$D$5:$D$91,MID(B18,FIND(" &amp; ",B18)+3,LEN(B18)))),COUNTIF('League Results'!$D$5:$D$91,B18))</f>
        <v>1</v>
      </c>
    </row>
    <row r="19" spans="2:10" x14ac:dyDescent="0.35">
      <c r="B19" s="5" t="s">
        <v>10</v>
      </c>
      <c r="C19" s="1">
        <v>1010</v>
      </c>
      <c r="D19" s="1">
        <v>120</v>
      </c>
      <c r="E19" s="1">
        <f t="shared" si="0"/>
        <v>890</v>
      </c>
      <c r="F19" s="1">
        <f t="array" ref="F19">COUNTIF($E$4:$E$78,"&gt;"&amp;E19)+1+SUMPRODUCT(--($E$4:$E$78=E19),--($D$4:$D$78&lt;D19))</f>
        <v>16</v>
      </c>
      <c r="G19" s="1" t="str">
        <f t="shared" si="1"/>
        <v>16th</v>
      </c>
      <c r="H19" s="6">
        <f>VLOOKUP(F19,League_Points!$A$2:$B$61,2)</f>
        <v>35</v>
      </c>
      <c r="J19" s="22">
        <f>IF(LEN(B19)-LEN(SUBSTITUTE(B19,"&amp;",""))&gt;0,CONCATENATE(COUNTIF('League Results'!$D$5:$D$91,MID(B19,1,FIND(" &amp; ",B19)-1)),"-",COUNTIF('League Results'!$D$5:$D$91,MID(B19,FIND(" &amp; ",B19)+3,LEN(B19)))),COUNTIF('League Results'!$D$5:$D$91,B19))</f>
        <v>1</v>
      </c>
    </row>
    <row r="20" spans="2:10" x14ac:dyDescent="0.35">
      <c r="B20" s="5" t="s">
        <v>63</v>
      </c>
      <c r="C20" s="1">
        <v>860</v>
      </c>
      <c r="D20" s="1">
        <v>30</v>
      </c>
      <c r="E20" s="1">
        <f t="shared" si="0"/>
        <v>830</v>
      </c>
      <c r="F20" s="1">
        <f t="array" ref="F20">COUNTIF($E$4:$E$78,"&gt;"&amp;E20)+1+SUMPRODUCT(--($E$4:$E$78=E20),--($D$4:$D$78&lt;D20))</f>
        <v>17</v>
      </c>
      <c r="G20" s="1" t="str">
        <f t="shared" si="1"/>
        <v>17th</v>
      </c>
      <c r="H20" s="6">
        <f>VLOOKUP(F20,League_Points!$A$2:$B$61,2)</f>
        <v>34</v>
      </c>
      <c r="J20" s="22">
        <f>IF(LEN(B20)-LEN(SUBSTITUTE(B20,"&amp;",""))&gt;0,CONCATENATE(COUNTIF('League Results'!$D$5:$D$91,MID(B20,1,FIND(" &amp; ",B20)-1)),"-",COUNTIF('League Results'!$D$5:$D$91,MID(B20,FIND(" &amp; ",B20)+3,LEN(B20)))),COUNTIF('League Results'!$D$5:$D$91,B20))</f>
        <v>1</v>
      </c>
    </row>
    <row r="21" spans="2:10" x14ac:dyDescent="0.35">
      <c r="B21" s="5" t="s">
        <v>64</v>
      </c>
      <c r="C21" s="1">
        <v>810</v>
      </c>
      <c r="D21" s="1">
        <v>90</v>
      </c>
      <c r="E21" s="1">
        <f t="shared" si="0"/>
        <v>720</v>
      </c>
      <c r="F21" s="1">
        <f t="array" ref="F21">COUNTIF($E$4:$E$78,"&gt;"&amp;E21)+1+SUMPRODUCT(--($E$4:$E$78=E21),--($D$4:$D$78&lt;D21))</f>
        <v>18</v>
      </c>
      <c r="G21" s="1" t="str">
        <f t="shared" si="1"/>
        <v>18th</v>
      </c>
      <c r="H21" s="6">
        <f>VLOOKUP(F21,League_Points!$A$2:$B$61,2)</f>
        <v>33</v>
      </c>
      <c r="J21" s="22">
        <f>IF(LEN(B21)-LEN(SUBSTITUTE(B21,"&amp;",""))&gt;0,CONCATENATE(COUNTIF('League Results'!$D$5:$D$91,MID(B21,1,FIND(" &amp; ",B21)-1)),"-",COUNTIF('League Results'!$D$5:$D$91,MID(B21,FIND(" &amp; ",B21)+3,LEN(B21)))),COUNTIF('League Results'!$D$5:$D$91,B21))</f>
        <v>1</v>
      </c>
    </row>
    <row r="22" spans="2:10" x14ac:dyDescent="0.35">
      <c r="B22" s="5" t="s">
        <v>28</v>
      </c>
      <c r="C22" s="1">
        <v>700</v>
      </c>
      <c r="D22" s="1"/>
      <c r="E22" s="1">
        <f t="shared" si="0"/>
        <v>700</v>
      </c>
      <c r="F22" s="1">
        <f t="array" ref="F22">COUNTIF($E$4:$E$78,"&gt;"&amp;E22)+1+SUMPRODUCT(--($E$4:$E$78=E22),--($D$4:$D$78&lt;D22))</f>
        <v>19</v>
      </c>
      <c r="G22" s="1" t="str">
        <f t="shared" si="1"/>
        <v>19th</v>
      </c>
      <c r="H22" s="6">
        <f>VLOOKUP(F22,League_Points!$A$2:$B$61,2)</f>
        <v>32</v>
      </c>
      <c r="J22" s="22">
        <f>IF(LEN(B22)-LEN(SUBSTITUTE(B22,"&amp;",""))&gt;0,CONCATENATE(COUNTIF('League Results'!$D$5:$D$91,MID(B22,1,FIND(" &amp; ",B22)-1)),"-",COUNTIF('League Results'!$D$5:$D$91,MID(B22,FIND(" &amp; ",B22)+3,LEN(B22)))),COUNTIF('League Results'!$D$5:$D$91,B22))</f>
        <v>1</v>
      </c>
    </row>
    <row r="23" spans="2:10" x14ac:dyDescent="0.35">
      <c r="B23" s="5" t="s">
        <v>16</v>
      </c>
      <c r="C23" s="1">
        <v>690</v>
      </c>
      <c r="D23" s="1"/>
      <c r="E23" s="1">
        <f t="shared" si="0"/>
        <v>690</v>
      </c>
      <c r="F23" s="1">
        <f t="array" ref="F23">COUNTIF($E$4:$E$78,"&gt;"&amp;E23)+1+SUMPRODUCT(--($E$4:$E$78=E23),--($D$4:$D$78&lt;D23))</f>
        <v>20</v>
      </c>
      <c r="G23" s="1" t="str">
        <f t="shared" si="1"/>
        <v>20th</v>
      </c>
      <c r="H23" s="6">
        <f>VLOOKUP(F23,League_Points!$A$2:$B$61,2)</f>
        <v>31</v>
      </c>
      <c r="J23" s="22">
        <f>IF(LEN(B23)-LEN(SUBSTITUTE(B23,"&amp;",""))&gt;0,CONCATENATE(COUNTIF('League Results'!$D$5:$D$91,MID(B23,1,FIND(" &amp; ",B23)-1)),"-",COUNTIF('League Results'!$D$5:$D$91,MID(B23,FIND(" &amp; ",B23)+3,LEN(B23)))),COUNTIF('League Results'!$D$5:$D$91,B23))</f>
        <v>1</v>
      </c>
    </row>
    <row r="24" spans="2:10" x14ac:dyDescent="0.35">
      <c r="B24" s="5" t="s">
        <v>17</v>
      </c>
      <c r="C24" s="1">
        <v>640</v>
      </c>
      <c r="D24" s="1"/>
      <c r="E24" s="1">
        <f t="shared" si="0"/>
        <v>640</v>
      </c>
      <c r="F24" s="1">
        <f t="array" ref="F24">COUNTIF($E$4:$E$78,"&gt;"&amp;E24)+1+SUMPRODUCT(--($E$4:$E$78=E24),--($D$4:$D$78&lt;D24))</f>
        <v>21</v>
      </c>
      <c r="G24" s="1" t="str">
        <f t="shared" si="1"/>
        <v>21st</v>
      </c>
      <c r="H24" s="6">
        <f>VLOOKUP(F24,League_Points!$A$2:$B$61,2)</f>
        <v>30</v>
      </c>
      <c r="J24" s="22">
        <f>IF(LEN(B24)-LEN(SUBSTITUTE(B24,"&amp;",""))&gt;0,CONCATENATE(COUNTIF('League Results'!$D$5:$D$91,MID(B24,1,FIND(" &amp; ",B24)-1)),"-",COUNTIF('League Results'!$D$5:$D$91,MID(B24,FIND(" &amp; ",B24)+3,LEN(B24)))),COUNTIF('League Results'!$D$5:$D$91,B24))</f>
        <v>1</v>
      </c>
    </row>
    <row r="25" spans="2:10" x14ac:dyDescent="0.35">
      <c r="B25" s="5" t="s">
        <v>29</v>
      </c>
      <c r="C25" s="1">
        <v>640</v>
      </c>
      <c r="D25" s="1"/>
      <c r="E25" s="1">
        <f t="shared" si="0"/>
        <v>640</v>
      </c>
      <c r="F25" s="1">
        <f t="array" ref="F25">COUNTIF($E$4:$E$78,"&gt;"&amp;E25)+1+SUMPRODUCT(--($E$4:$E$78=E25),--($D$4:$D$78&lt;D25))</f>
        <v>21</v>
      </c>
      <c r="G25" s="1" t="str">
        <f t="shared" si="1"/>
        <v>21st</v>
      </c>
      <c r="H25" s="6">
        <f>VLOOKUP(F25,League_Points!$A$2:$B$61,2)</f>
        <v>30</v>
      </c>
      <c r="J25" s="22">
        <f>IF(LEN(B25)-LEN(SUBSTITUTE(B25,"&amp;",""))&gt;0,CONCATENATE(COUNTIF('League Results'!$D$5:$D$91,MID(B25,1,FIND(" &amp; ",B25)-1)),"-",COUNTIF('League Results'!$D$5:$D$91,MID(B25,FIND(" &amp; ",B25)+3,LEN(B25)))),COUNTIF('League Results'!$D$5:$D$91,B25))</f>
        <v>1</v>
      </c>
    </row>
    <row r="26" spans="2:10" x14ac:dyDescent="0.35">
      <c r="B26" s="5" t="s">
        <v>65</v>
      </c>
      <c r="C26" s="1">
        <v>760</v>
      </c>
      <c r="D26" s="1">
        <v>120</v>
      </c>
      <c r="E26" s="1">
        <f t="shared" si="0"/>
        <v>640</v>
      </c>
      <c r="F26" s="1">
        <f t="array" ref="F26">COUNTIF($E$4:$E$78,"&gt;"&amp;E26)+1+SUMPRODUCT(--($E$4:$E$78=E26),--($D$4:$D$78&lt;D26))</f>
        <v>23</v>
      </c>
      <c r="G26" s="1" t="str">
        <f t="shared" si="1"/>
        <v>23rd</v>
      </c>
      <c r="H26" s="6">
        <f>VLOOKUP(F26,League_Points!$A$2:$B$61,2)</f>
        <v>28</v>
      </c>
      <c r="J26" s="22">
        <f>IF(LEN(B26)-LEN(SUBSTITUTE(B26,"&amp;",""))&gt;0,CONCATENATE(COUNTIF('League Results'!$D$5:$D$91,MID(B26,1,FIND(" &amp; ",B26)-1)),"-",COUNTIF('League Results'!$D$5:$D$91,MID(B26,FIND(" &amp; ",B26)+3,LEN(B26)))),COUNTIF('League Results'!$D$5:$D$91,B26))</f>
        <v>1</v>
      </c>
    </row>
    <row r="27" spans="2:10" x14ac:dyDescent="0.35">
      <c r="B27" s="5" t="s">
        <v>68</v>
      </c>
      <c r="C27" s="1">
        <v>550</v>
      </c>
      <c r="D27" s="1"/>
      <c r="E27" s="1">
        <f t="shared" si="0"/>
        <v>550</v>
      </c>
      <c r="F27" s="1">
        <f t="array" ref="F27">COUNTIF($E$4:$E$78,"&gt;"&amp;E27)+1+SUMPRODUCT(--($E$4:$E$78=E27),--($D$4:$D$78&lt;D27))</f>
        <v>24</v>
      </c>
      <c r="G27" s="1" t="str">
        <f t="shared" si="1"/>
        <v>24th</v>
      </c>
      <c r="H27" s="6">
        <f>VLOOKUP(F27,League_Points!$A$2:$B$61,2)</f>
        <v>27</v>
      </c>
      <c r="J27" s="22">
        <f>IF(LEN(B27)-LEN(SUBSTITUTE(B27,"&amp;",""))&gt;0,CONCATENATE(COUNTIF('League Results'!$D$5:$D$91,MID(B27,1,FIND(" &amp; ",B27)-1)),"-",COUNTIF('League Results'!$D$5:$D$91,MID(B27,FIND(" &amp; ",B27)+3,LEN(B27)))),COUNTIF('League Results'!$D$5:$D$91,B27))</f>
        <v>1</v>
      </c>
    </row>
    <row r="28" spans="2:10" x14ac:dyDescent="0.35">
      <c r="B28" s="5" t="s">
        <v>15</v>
      </c>
      <c r="C28" s="1">
        <v>540</v>
      </c>
      <c r="D28" s="1"/>
      <c r="E28" s="1">
        <f t="shared" si="0"/>
        <v>540</v>
      </c>
      <c r="F28" s="1">
        <f t="array" ref="F28">COUNTIF($E$4:$E$78,"&gt;"&amp;E28)+1+SUMPRODUCT(--($E$4:$E$78=E28),--($D$4:$D$78&lt;D28))</f>
        <v>25</v>
      </c>
      <c r="G28" s="1" t="str">
        <f t="shared" si="1"/>
        <v>25th</v>
      </c>
      <c r="H28" s="6">
        <f>VLOOKUP(F28,League_Points!$A$2:$B$61,2)</f>
        <v>26</v>
      </c>
      <c r="J28" s="22">
        <f>IF(LEN(B28)-LEN(SUBSTITUTE(B28,"&amp;",""))&gt;0,CONCATENATE(COUNTIF('League Results'!$D$5:$D$91,MID(B28,1,FIND(" &amp; ",B28)-1)),"-",COUNTIF('League Results'!$D$5:$D$91,MID(B28,FIND(" &amp; ",B28)+3,LEN(B28)))),COUNTIF('League Results'!$D$5:$D$91,B28))</f>
        <v>1</v>
      </c>
    </row>
    <row r="29" spans="2:10" x14ac:dyDescent="0.35">
      <c r="B29" s="5" t="s">
        <v>67</v>
      </c>
      <c r="C29" s="1">
        <v>570</v>
      </c>
      <c r="D29" s="1">
        <v>30</v>
      </c>
      <c r="E29" s="1">
        <f t="shared" si="0"/>
        <v>540</v>
      </c>
      <c r="F29" s="1">
        <f t="array" ref="F29">COUNTIF($E$4:$E$78,"&gt;"&amp;E29)+1+SUMPRODUCT(--($E$4:$E$78=E29),--($D$4:$D$78&lt;D29))</f>
        <v>26</v>
      </c>
      <c r="G29" s="1" t="str">
        <f t="shared" si="1"/>
        <v>26th</v>
      </c>
      <c r="H29" s="6">
        <f>VLOOKUP(F29,League_Points!$A$2:$B$61,2)</f>
        <v>25</v>
      </c>
      <c r="J29" s="22">
        <f>IF(LEN(B29)-LEN(SUBSTITUTE(B29,"&amp;",""))&gt;0,CONCATENATE(COUNTIF('League Results'!$D$5:$D$91,MID(B29,1,FIND(" &amp; ",B29)-1)),"-",COUNTIF('League Results'!$D$5:$D$91,MID(B29,FIND(" &amp; ",B29)+3,LEN(B29)))),COUNTIF('League Results'!$D$5:$D$91,B29))</f>
        <v>1</v>
      </c>
    </row>
    <row r="30" spans="2:10" x14ac:dyDescent="0.35">
      <c r="B30" s="5" t="s">
        <v>21</v>
      </c>
      <c r="C30" s="1">
        <v>520</v>
      </c>
      <c r="D30" s="1"/>
      <c r="E30" s="1">
        <f t="shared" si="0"/>
        <v>520</v>
      </c>
      <c r="F30" s="1">
        <f t="array" ref="F30">COUNTIF($E$4:$E$78,"&gt;"&amp;E30)+1+SUMPRODUCT(--($E$4:$E$78=E30),--($D$4:$D$78&lt;D30))</f>
        <v>27</v>
      </c>
      <c r="G30" s="1" t="str">
        <f t="shared" si="1"/>
        <v>27th</v>
      </c>
      <c r="H30" s="6">
        <f>VLOOKUP(F30,League_Points!$A$2:$B$61,2)</f>
        <v>24</v>
      </c>
      <c r="J30" s="22">
        <f>IF(LEN(B30)-LEN(SUBSTITUTE(B30,"&amp;",""))&gt;0,CONCATENATE(COUNTIF('League Results'!$D$5:$D$91,MID(B30,1,FIND(" &amp; ",B30)-1)),"-",COUNTIF('League Results'!$D$5:$D$91,MID(B30,FIND(" &amp; ",B30)+3,LEN(B30)))),COUNTIF('League Results'!$D$5:$D$91,B30))</f>
        <v>1</v>
      </c>
    </row>
    <row r="31" spans="2:10" x14ac:dyDescent="0.35">
      <c r="B31" s="5" t="s">
        <v>30</v>
      </c>
      <c r="C31" s="1">
        <v>450</v>
      </c>
      <c r="D31" s="1"/>
      <c r="E31" s="1">
        <f t="shared" si="0"/>
        <v>450</v>
      </c>
      <c r="F31" s="1">
        <f t="array" ref="F31">COUNTIF($E$4:$E$78,"&gt;"&amp;E31)+1+SUMPRODUCT(--($E$4:$E$78=E31),--($D$4:$D$78&lt;D31))</f>
        <v>28</v>
      </c>
      <c r="G31" s="1" t="str">
        <f t="shared" si="1"/>
        <v>28th</v>
      </c>
      <c r="H31" s="6">
        <f>VLOOKUP(F31,League_Points!$A$2:$B$61,2)</f>
        <v>23</v>
      </c>
      <c r="J31" s="22">
        <f>IF(LEN(B31)-LEN(SUBSTITUTE(B31,"&amp;",""))&gt;0,CONCATENATE(COUNTIF('League Results'!$D$5:$D$91,MID(B31,1,FIND(" &amp; ",B31)-1)),"-",COUNTIF('League Results'!$D$5:$D$91,MID(B31,FIND(" &amp; ",B31)+3,LEN(B31)))),COUNTIF('League Results'!$D$5:$D$91,B31))</f>
        <v>1</v>
      </c>
    </row>
    <row r="32" spans="2:10" x14ac:dyDescent="0.35">
      <c r="B32" s="5" t="s">
        <v>70</v>
      </c>
      <c r="C32" s="1">
        <v>510</v>
      </c>
      <c r="D32" s="1">
        <v>60</v>
      </c>
      <c r="E32" s="1">
        <f t="shared" si="0"/>
        <v>450</v>
      </c>
      <c r="F32" s="1">
        <f t="array" ref="F32">COUNTIF($E$4:$E$78,"&gt;"&amp;E32)+1+SUMPRODUCT(--($E$4:$E$78=E32),--($D$4:$D$78&lt;D32))</f>
        <v>29</v>
      </c>
      <c r="G32" s="1" t="str">
        <f t="shared" si="1"/>
        <v>29th</v>
      </c>
      <c r="H32" s="6">
        <f>VLOOKUP(F32,League_Points!$A$2:$B$61,2)</f>
        <v>22</v>
      </c>
      <c r="J32" s="22">
        <f>IF(LEN(B32)-LEN(SUBSTITUTE(B32,"&amp;",""))&gt;0,CONCATENATE(COUNTIF('League Results'!$D$5:$D$91,MID(B32,1,FIND(" &amp; ",B32)-1)),"-",COUNTIF('League Results'!$D$5:$D$91,MID(B32,FIND(" &amp; ",B32)+3,LEN(B32)))),COUNTIF('League Results'!$D$5:$D$91,B32))</f>
        <v>1</v>
      </c>
    </row>
    <row r="33" spans="2:10" x14ac:dyDescent="0.35">
      <c r="B33" s="5" t="s">
        <v>71</v>
      </c>
      <c r="C33" s="1">
        <v>510</v>
      </c>
      <c r="D33" s="1">
        <v>60</v>
      </c>
      <c r="E33" s="1">
        <f t="shared" si="0"/>
        <v>450</v>
      </c>
      <c r="F33" s="1">
        <f t="array" ref="F33">COUNTIF($E$4:$E$78,"&gt;"&amp;E33)+1+SUMPRODUCT(--($E$4:$E$78=E33),--($D$4:$D$78&lt;D33))</f>
        <v>29</v>
      </c>
      <c r="G33" s="1" t="str">
        <f t="shared" si="1"/>
        <v>29th</v>
      </c>
      <c r="H33" s="6">
        <f>VLOOKUP(F33,League_Points!$A$2:$B$61,2)</f>
        <v>22</v>
      </c>
      <c r="J33" s="22">
        <f>IF(LEN(B33)-LEN(SUBSTITUTE(B33,"&amp;",""))&gt;0,CONCATENATE(COUNTIF('League Results'!$D$5:$D$91,MID(B33,1,FIND(" &amp; ",B33)-1)),"-",COUNTIF('League Results'!$D$5:$D$91,MID(B33,FIND(" &amp; ",B33)+3,LEN(B33)))),COUNTIF('League Results'!$D$5:$D$91,B33))</f>
        <v>1</v>
      </c>
    </row>
    <row r="34" spans="2:10" x14ac:dyDescent="0.35">
      <c r="B34" s="5" t="s">
        <v>31</v>
      </c>
      <c r="C34" s="1">
        <v>430</v>
      </c>
      <c r="D34" s="1"/>
      <c r="E34" s="1">
        <f t="shared" si="0"/>
        <v>430</v>
      </c>
      <c r="F34" s="1">
        <f t="array" ref="F34">COUNTIF($E$4:$E$78,"&gt;"&amp;E34)+1+SUMPRODUCT(--($E$4:$E$78=E34),--($D$4:$D$78&lt;D34))</f>
        <v>31</v>
      </c>
      <c r="G34" s="1" t="str">
        <f t="shared" si="1"/>
        <v>31st</v>
      </c>
      <c r="H34" s="6">
        <f>VLOOKUP(F34,League_Points!$A$2:$B$61,2)</f>
        <v>20</v>
      </c>
      <c r="J34" s="22">
        <f>IF(LEN(B34)-LEN(SUBSTITUTE(B34,"&amp;",""))&gt;0,CONCATENATE(COUNTIF('League Results'!$D$5:$D$91,MID(B34,1,FIND(" &amp; ",B34)-1)),"-",COUNTIF('League Results'!$D$5:$D$91,MID(B34,FIND(" &amp; ",B34)+3,LEN(B34)))),COUNTIF('League Results'!$D$5:$D$91,B34))</f>
        <v>1</v>
      </c>
    </row>
    <row r="35" spans="2:10" x14ac:dyDescent="0.35">
      <c r="B35" s="5" t="s">
        <v>32</v>
      </c>
      <c r="C35" s="1">
        <v>430</v>
      </c>
      <c r="D35" s="1"/>
      <c r="E35" s="1">
        <f t="shared" si="0"/>
        <v>430</v>
      </c>
      <c r="F35" s="1">
        <f t="array" ref="F35">COUNTIF($E$4:$E$78,"&gt;"&amp;E35)+1+SUMPRODUCT(--($E$4:$E$78=E35),--($D$4:$D$78&lt;D35))</f>
        <v>31</v>
      </c>
      <c r="G35" s="1" t="str">
        <f t="shared" si="1"/>
        <v>31st</v>
      </c>
      <c r="H35" s="6">
        <f>VLOOKUP(F35,League_Points!$A$2:$B$61,2)</f>
        <v>20</v>
      </c>
      <c r="J35" s="22">
        <f>IF(LEN(B35)-LEN(SUBSTITUTE(B35,"&amp;",""))&gt;0,CONCATENATE(COUNTIF('League Results'!$D$5:$D$91,MID(B35,1,FIND(" &amp; ",B35)-1)),"-",COUNTIF('League Results'!$D$5:$D$91,MID(B35,FIND(" &amp; ",B35)+3,LEN(B35)))),COUNTIF('League Results'!$D$5:$D$91,B35))</f>
        <v>1</v>
      </c>
    </row>
    <row r="36" spans="2:10" x14ac:dyDescent="0.35">
      <c r="B36" s="5" t="s">
        <v>19</v>
      </c>
      <c r="C36" s="1">
        <v>570</v>
      </c>
      <c r="D36" s="1">
        <v>180</v>
      </c>
      <c r="E36" s="1">
        <f t="shared" si="0"/>
        <v>390</v>
      </c>
      <c r="F36" s="1">
        <f t="array" ref="F36">COUNTIF($E$4:$E$78,"&gt;"&amp;E36)+1+SUMPRODUCT(--($E$4:$E$78=E36),--($D$4:$D$78&lt;D36))</f>
        <v>33</v>
      </c>
      <c r="G36" s="1" t="str">
        <f t="shared" si="1"/>
        <v>33rd</v>
      </c>
      <c r="H36" s="6">
        <f>VLOOKUP(F36,League_Points!$A$2:$B$61,2)</f>
        <v>18</v>
      </c>
      <c r="J36" s="22">
        <f>IF(LEN(B36)-LEN(SUBSTITUTE(B36,"&amp;",""))&gt;0,CONCATENATE(COUNTIF('League Results'!$D$5:$D$91,MID(B36,1,FIND(" &amp; ",B36)-1)),"-",COUNTIF('League Results'!$D$5:$D$91,MID(B36,FIND(" &amp; ",B36)+3,LEN(B36)))),COUNTIF('League Results'!$D$5:$D$91,B36))</f>
        <v>1</v>
      </c>
    </row>
    <row r="37" spans="2:10" x14ac:dyDescent="0.35">
      <c r="B37" s="5" t="s">
        <v>20</v>
      </c>
      <c r="C37" s="1">
        <v>570</v>
      </c>
      <c r="D37" s="1">
        <v>180</v>
      </c>
      <c r="E37" s="1">
        <f t="shared" si="0"/>
        <v>390</v>
      </c>
      <c r="F37" s="1">
        <f t="array" ref="F37">COUNTIF($E$4:$E$78,"&gt;"&amp;E37)+1+SUMPRODUCT(--($E$4:$E$78=E37),--($D$4:$D$78&lt;D37))</f>
        <v>33</v>
      </c>
      <c r="G37" s="1" t="str">
        <f t="shared" si="1"/>
        <v>33rd</v>
      </c>
      <c r="H37" s="6">
        <f>VLOOKUP(F37,League_Points!$A$2:$B$61,2)</f>
        <v>18</v>
      </c>
      <c r="J37" s="22">
        <f>IF(LEN(B37)-LEN(SUBSTITUTE(B37,"&amp;",""))&gt;0,CONCATENATE(COUNTIF('League Results'!$D$5:$D$91,MID(B37,1,FIND(" &amp; ",B37)-1)),"-",COUNTIF('League Results'!$D$5:$D$91,MID(B37,FIND(" &amp; ",B37)+3,LEN(B37)))),COUNTIF('League Results'!$D$5:$D$91,B37))</f>
        <v>1</v>
      </c>
    </row>
    <row r="38" spans="2:10" x14ac:dyDescent="0.35">
      <c r="B38" s="5" t="s">
        <v>66</v>
      </c>
      <c r="C38" s="1">
        <v>440</v>
      </c>
      <c r="D38" s="1">
        <v>150</v>
      </c>
      <c r="E38" s="1">
        <f t="shared" si="0"/>
        <v>290</v>
      </c>
      <c r="F38" s="1">
        <f t="array" ref="F38">COUNTIF($E$4:$E$78,"&gt;"&amp;E38)+1+SUMPRODUCT(--($E$4:$E$78=E38),--($D$4:$D$78&lt;D38))</f>
        <v>35</v>
      </c>
      <c r="G38" s="1" t="str">
        <f t="shared" si="1"/>
        <v>35th</v>
      </c>
      <c r="H38" s="6">
        <f>VLOOKUP(F38,League_Points!$A$2:$B$61,2)</f>
        <v>16</v>
      </c>
      <c r="J38" s="22">
        <f>IF(LEN(B38)-LEN(SUBSTITUTE(B38,"&amp;",""))&gt;0,CONCATENATE(COUNTIF('League Results'!$D$5:$D$91,MID(B38,1,FIND(" &amp; ",B38)-1)),"-",COUNTIF('League Results'!$D$5:$D$91,MID(B38,FIND(" &amp; ",B38)+3,LEN(B38)))),COUNTIF('League Results'!$D$5:$D$91,B38))</f>
        <v>1</v>
      </c>
    </row>
    <row r="39" spans="2:10" x14ac:dyDescent="0.35">
      <c r="B39" s="5" t="s">
        <v>72</v>
      </c>
      <c r="C39" s="1">
        <v>440</v>
      </c>
      <c r="D39" s="1">
        <v>150</v>
      </c>
      <c r="E39" s="1">
        <f t="shared" si="0"/>
        <v>290</v>
      </c>
      <c r="F39" s="1">
        <f t="array" ref="F39">COUNTIF($E$4:$E$78,"&gt;"&amp;E39)+1+SUMPRODUCT(--($E$4:$E$78=E39),--($D$4:$D$78&lt;D39))</f>
        <v>35</v>
      </c>
      <c r="G39" s="1" t="str">
        <f t="shared" si="1"/>
        <v>35th</v>
      </c>
      <c r="H39" s="6">
        <f>VLOOKUP(F39,League_Points!$A$2:$B$61,2)</f>
        <v>16</v>
      </c>
      <c r="J39" s="22">
        <f>IF(LEN(B39)-LEN(SUBSTITUTE(B39,"&amp;",""))&gt;0,CONCATENATE(COUNTIF('League Results'!$D$5:$D$91,MID(B39,1,FIND(" &amp; ",B39)-1)),"-",COUNTIF('League Results'!$D$5:$D$91,MID(B39,FIND(" &amp; ",B39)+3,LEN(B39)))),COUNTIF('League Results'!$D$5:$D$91,B39))</f>
        <v>1</v>
      </c>
    </row>
    <row r="40" spans="2:10" x14ac:dyDescent="0.35">
      <c r="B40" s="5" t="s">
        <v>73</v>
      </c>
      <c r="C40" s="1">
        <v>0</v>
      </c>
      <c r="D40" s="1"/>
      <c r="E40" s="1">
        <f t="shared" si="0"/>
        <v>0</v>
      </c>
      <c r="F40" s="1">
        <f t="array" ref="F40">COUNTIF($E$4:$E$78,"&gt;"&amp;E40)+1+SUMPRODUCT(--($E$4:$E$78=E40),--($D$4:$D$78&lt;D40))</f>
        <v>37</v>
      </c>
      <c r="G40" s="1" t="str">
        <f t="shared" si="1"/>
        <v>37th</v>
      </c>
      <c r="H40" s="6">
        <f>VLOOKUP(F40,League_Points!$A$2:$B$61,2)</f>
        <v>14</v>
      </c>
      <c r="J40" s="22">
        <f>IF(LEN(B40)-LEN(SUBSTITUTE(B40,"&amp;",""))&gt;0,CONCATENATE(COUNTIF('League Results'!$D$5:$D$91,MID(B40,1,FIND(" &amp; ",B40)-1)),"-",COUNTIF('League Results'!$D$5:$D$91,MID(B40,FIND(" &amp; ",B40)+3,LEN(B40)))),COUNTIF('League Results'!$D$5:$D$91,B40))</f>
        <v>1</v>
      </c>
    </row>
    <row r="41" spans="2:10" ht="16" thickBot="1" x14ac:dyDescent="0.4">
      <c r="B41" s="7" t="s">
        <v>12</v>
      </c>
      <c r="C41" s="8" t="s">
        <v>22</v>
      </c>
      <c r="D41" s="8"/>
      <c r="E41" s="8"/>
      <c r="F41" s="8"/>
      <c r="G41" s="8"/>
      <c r="H41" s="9" t="s">
        <v>23</v>
      </c>
      <c r="J41" s="23">
        <f>IF(LEN(B41)-LEN(SUBSTITUTE(B41,"&amp;",""))&gt;0,CONCATENATE(COUNTIF('League Results'!$D$5:$D$91,MID(B41,1,FIND(" &amp; ",B41)-1)),"-",COUNTIF('League Results'!$D$5:$D$91,MID(B41,FIND(" &amp; ",B41)+3,LEN(B41)))),COUNTIF('League Results'!$D$5:$D$91,B41))</f>
        <v>1</v>
      </c>
    </row>
    <row r="43" spans="2:10" ht="85" customHeight="1" x14ac:dyDescent="0.35">
      <c r="B43" s="62" t="s">
        <v>24</v>
      </c>
      <c r="C43" s="62"/>
      <c r="D43" s="62"/>
      <c r="E43" s="62"/>
      <c r="F43" s="62"/>
      <c r="G43" s="62"/>
      <c r="H43" s="62"/>
    </row>
    <row r="45" spans="2:10" ht="70" customHeight="1" x14ac:dyDescent="0.35">
      <c r="B45" s="62" t="s">
        <v>25</v>
      </c>
      <c r="C45" s="62"/>
      <c r="D45" s="62"/>
      <c r="E45" s="62"/>
      <c r="F45" s="62"/>
      <c r="G45" s="62"/>
      <c r="H45" s="62"/>
    </row>
  </sheetData>
  <autoFilter ref="B3:H3" xr:uid="{00000000-0009-0000-0000-000000000000}">
    <sortState xmlns:xlrd2="http://schemas.microsoft.com/office/spreadsheetml/2017/richdata2" ref="B4:H42">
      <sortCondition descending="1" ref="E3"/>
    </sortState>
  </autoFilter>
  <mergeCells count="3">
    <mergeCell ref="B2:H2"/>
    <mergeCell ref="B43:H43"/>
    <mergeCell ref="B45:H45"/>
  </mergeCells>
  <phoneticPr fontId="4" type="noConversion"/>
  <conditionalFormatting sqref="J4:J14 J31:J41">
    <cfRule type="expression" dxfId="15" priority="3">
      <formula>AND($J4&lt;&gt;1,$J4&lt;&gt;"1-1")</formula>
    </cfRule>
  </conditionalFormatting>
  <conditionalFormatting sqref="J15:J30">
    <cfRule type="expression" dxfId="14" priority="1">
      <formula>AND($J15&lt;&gt;1,$J15&lt;&gt;"1-1")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B1:J51"/>
  <sheetViews>
    <sheetView topLeftCell="A31" workbookViewId="0">
      <selection activeCell="A47" sqref="A47"/>
    </sheetView>
  </sheetViews>
  <sheetFormatPr defaultColWidth="8.81640625" defaultRowHeight="15.5" x14ac:dyDescent="0.35"/>
  <cols>
    <col min="1" max="1" width="1.453125" style="21" customWidth="1"/>
    <col min="2" max="2" width="25.453125" style="19" bestFit="1"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Worcester Park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ht="16" thickBot="1" x14ac:dyDescent="0.4">
      <c r="B4" s="2" t="s">
        <v>69</v>
      </c>
      <c r="C4" s="3">
        <v>1070</v>
      </c>
      <c r="D4" s="3"/>
      <c r="E4" s="3">
        <f t="shared" ref="E4:E46" si="0">C4-D4</f>
        <v>1070</v>
      </c>
      <c r="F4" s="3">
        <f t="array" ref="F4">COUNTIF($E$4:$E$84,"&gt;"&amp;E4)+1+SUMPRODUCT(--($E$4:$E$84=E4),--($D$4:$D$84&lt;D4))</f>
        <v>1</v>
      </c>
      <c r="G4" s="3" t="str">
        <f t="shared" ref="G4:G46" si="1">F4&amp;IF(AND(MOD(ABS(F4),100)&gt;10,MOD(ABS(F4),100)&lt;14),"th",CHOOSE(MOD(ABS(F4),10)+1,"th","st","nd","rd","th","th","th","th","th","th"))</f>
        <v>1st</v>
      </c>
      <c r="H4" s="4">
        <f>VLOOKUP(F4,League_Points!$A$2:$B$61,2)</f>
        <v>50</v>
      </c>
      <c r="J4" s="24">
        <f>IF(LEN(B4)-LEN(SUBSTITUTE(B4,"&amp;",""))&gt;0,CONCATENATE(COUNTIF('League Results'!$D$5:$D$91,MID(B4,1,FIND(" &amp; ",B4)-1)),"-",COUNTIF('League Results'!$D$5:$D$91,MID(B4,FIND(" &amp; ",B4)+3,LEN(B4)))),COUNTIF('League Results'!$D$5:$D$91,B4))</f>
        <v>1</v>
      </c>
    </row>
    <row r="5" spans="2:10" ht="16" thickBot="1" x14ac:dyDescent="0.4">
      <c r="B5" s="5" t="s">
        <v>11</v>
      </c>
      <c r="C5" s="1">
        <v>1040</v>
      </c>
      <c r="D5" s="1"/>
      <c r="E5" s="1">
        <f t="shared" si="0"/>
        <v>1040</v>
      </c>
      <c r="F5" s="1">
        <f t="array" ref="F5">COUNTIF($E$4:$E$84,"&gt;"&amp;E5)+1+SUMPRODUCT(--($E$4:$E$84=E5),--($D$4:$D$84&lt;D5))</f>
        <v>2</v>
      </c>
      <c r="G5" s="1" t="str">
        <f t="shared" si="1"/>
        <v>2nd</v>
      </c>
      <c r="H5" s="6">
        <f>VLOOKUP(F5,League_Points!$A$2:$B$61,2)</f>
        <v>49</v>
      </c>
      <c r="J5" s="24">
        <f>IF(LEN(B5)-LEN(SUBSTITUTE(B5,"&amp;",""))&gt;0,CONCATENATE(COUNTIF('League Results'!$D$5:$D$91,MID(B5,1,FIND(" &amp; ",B5)-1)),"-",COUNTIF('League Results'!$D$5:$D$91,MID(B5,FIND(" &amp; ",B5)+3,LEN(B5)))),COUNTIF('League Results'!$D$5:$D$91,B5))</f>
        <v>1</v>
      </c>
    </row>
    <row r="6" spans="2:10" ht="16" thickBot="1" x14ac:dyDescent="0.4">
      <c r="B6" s="5" t="s">
        <v>14</v>
      </c>
      <c r="C6" s="1">
        <v>1060</v>
      </c>
      <c r="D6" s="1">
        <v>30</v>
      </c>
      <c r="E6" s="1">
        <f t="shared" si="0"/>
        <v>1030</v>
      </c>
      <c r="F6" s="1">
        <f t="array" ref="F6">COUNTIF($E$4:$E$84,"&gt;"&amp;E6)+1+SUMPRODUCT(--($E$4:$E$84=E6),--($D$4:$D$84&lt;D6))</f>
        <v>3</v>
      </c>
      <c r="G6" s="1" t="str">
        <f t="shared" si="1"/>
        <v>3rd</v>
      </c>
      <c r="H6" s="6">
        <f>VLOOKUP(F6,League_Points!$A$2:$B$61,2)</f>
        <v>48</v>
      </c>
      <c r="J6" s="24">
        <f>IF(LEN(B6)-LEN(SUBSTITUTE(B6,"&amp;",""))&gt;0,CONCATENATE(COUNTIF('League Results'!$D$5:$D$91,MID(B6,1,FIND(" &amp; ",B6)-1)),"-",COUNTIF('League Results'!$D$5:$D$91,MID(B6,FIND(" &amp; ",B6)+3,LEN(B6)))),COUNTIF('League Results'!$D$5:$D$91,B6))</f>
        <v>1</v>
      </c>
    </row>
    <row r="7" spans="2:10" ht="16" thickBot="1" x14ac:dyDescent="0.4">
      <c r="B7" s="5" t="s">
        <v>26</v>
      </c>
      <c r="C7" s="1">
        <v>1010</v>
      </c>
      <c r="D7" s="1"/>
      <c r="E7" s="1">
        <f t="shared" si="0"/>
        <v>1010</v>
      </c>
      <c r="F7" s="1">
        <f t="array" ref="F7">COUNTIF($E$4:$E$84,"&gt;"&amp;E7)+1+SUMPRODUCT(--($E$4:$E$84=E7),--($D$4:$D$84&lt;D7))</f>
        <v>4</v>
      </c>
      <c r="G7" s="1" t="str">
        <f t="shared" si="1"/>
        <v>4th</v>
      </c>
      <c r="H7" s="6">
        <f>VLOOKUP(F7,League_Points!$A$2:$B$61,2)</f>
        <v>47</v>
      </c>
      <c r="J7" s="24">
        <f>IF(LEN(B7)-LEN(SUBSTITUTE(B7,"&amp;",""))&gt;0,CONCATENATE(COUNTIF('League Results'!$D$5:$D$91,MID(B7,1,FIND(" &amp; ",B7)-1)),"-",COUNTIF('League Results'!$D$5:$D$91,MID(B7,FIND(" &amp; ",B7)+3,LEN(B7)))),COUNTIF('League Results'!$D$5:$D$91,B7))</f>
        <v>1</v>
      </c>
    </row>
    <row r="8" spans="2:10" ht="16" thickBot="1" x14ac:dyDescent="0.4">
      <c r="B8" s="5" t="s">
        <v>58</v>
      </c>
      <c r="C8" s="1">
        <v>1040</v>
      </c>
      <c r="D8" s="1">
        <v>30</v>
      </c>
      <c r="E8" s="1">
        <f t="shared" si="0"/>
        <v>1010</v>
      </c>
      <c r="F8" s="1">
        <f t="array" ref="F8">COUNTIF($E$4:$E$84,"&gt;"&amp;E8)+1+SUMPRODUCT(--($E$4:$E$84=E8),--($D$4:$D$84&lt;D8))</f>
        <v>5</v>
      </c>
      <c r="G8" s="1" t="str">
        <f t="shared" si="1"/>
        <v>5th</v>
      </c>
      <c r="H8" s="6">
        <f>VLOOKUP(F8,League_Points!$A$2:$B$61,2)</f>
        <v>46</v>
      </c>
      <c r="J8" s="24">
        <f>IF(LEN(B8)-LEN(SUBSTITUTE(B8,"&amp;",""))&gt;0,CONCATENATE(COUNTIF('League Results'!$D$5:$D$91,MID(B8,1,FIND(" &amp; ",B8)-1)),"-",COUNTIF('League Results'!$D$5:$D$91,MID(B8,FIND(" &amp; ",B8)+3,LEN(B8)))),COUNTIF('League Results'!$D$5:$D$91,B8))</f>
        <v>1</v>
      </c>
    </row>
    <row r="9" spans="2:10" ht="16" thickBot="1" x14ac:dyDescent="0.4">
      <c r="B9" s="5" t="s">
        <v>75</v>
      </c>
      <c r="C9" s="1">
        <v>990</v>
      </c>
      <c r="D9" s="1"/>
      <c r="E9" s="1">
        <f t="shared" si="0"/>
        <v>990</v>
      </c>
      <c r="F9" s="1">
        <f t="array" ref="F9">COUNTIF($E$4:$E$84,"&gt;"&amp;E9)+1+SUMPRODUCT(--($E$4:$E$84=E9),--($D$4:$D$84&lt;D9))</f>
        <v>6</v>
      </c>
      <c r="G9" s="1" t="str">
        <f t="shared" si="1"/>
        <v>6th</v>
      </c>
      <c r="H9" s="6">
        <f>VLOOKUP(F9,League_Points!$A$2:$B$61,2)</f>
        <v>45</v>
      </c>
      <c r="J9" s="24">
        <f>IF(LEN(B9)-LEN(SUBSTITUTE(B9,"&amp;",""))&gt;0,CONCATENATE(COUNTIF('League Results'!$D$5:$D$91,MID(B9,1,FIND(" &amp; ",B9)-1)),"-",COUNTIF('League Results'!$D$5:$D$91,MID(B9,FIND(" &amp; ",B9)+3,LEN(B9)))),COUNTIF('League Results'!$D$5:$D$91,B9))</f>
        <v>1</v>
      </c>
    </row>
    <row r="10" spans="2:10" ht="16" thickBot="1" x14ac:dyDescent="0.4">
      <c r="B10" s="5" t="s">
        <v>57</v>
      </c>
      <c r="C10" s="1">
        <v>980</v>
      </c>
      <c r="D10" s="1"/>
      <c r="E10" s="1">
        <f t="shared" si="0"/>
        <v>980</v>
      </c>
      <c r="F10" s="1">
        <f t="array" ref="F10">COUNTIF($E$4:$E$84,"&gt;"&amp;E10)+1+SUMPRODUCT(--($E$4:$E$84=E10),--($D$4:$D$84&lt;D10))</f>
        <v>7</v>
      </c>
      <c r="G10" s="1" t="str">
        <f t="shared" si="1"/>
        <v>7th</v>
      </c>
      <c r="H10" s="6">
        <f>VLOOKUP(F10,League_Points!$A$2:$B$61,2)</f>
        <v>44</v>
      </c>
      <c r="J10" s="24">
        <f>IF(LEN(B10)-LEN(SUBSTITUTE(B10,"&amp;",""))&gt;0,CONCATENATE(COUNTIF('League Results'!$D$5:$D$91,MID(B10,1,FIND(" &amp; ",B10)-1)),"-",COUNTIF('League Results'!$D$5:$D$91,MID(B10,FIND(" &amp; ",B10)+3,LEN(B10)))),COUNTIF('League Results'!$D$5:$D$91,B10))</f>
        <v>1</v>
      </c>
    </row>
    <row r="11" spans="2:10" ht="16" thickBot="1" x14ac:dyDescent="0.4">
      <c r="B11" s="5" t="s">
        <v>76</v>
      </c>
      <c r="C11" s="1">
        <v>930</v>
      </c>
      <c r="D11" s="1"/>
      <c r="E11" s="1">
        <f t="shared" si="0"/>
        <v>930</v>
      </c>
      <c r="F11" s="1">
        <f t="array" ref="F11">COUNTIF($E$4:$E$84,"&gt;"&amp;E11)+1+SUMPRODUCT(--($E$4:$E$84=E11),--($D$4:$D$84&lt;D11))</f>
        <v>8</v>
      </c>
      <c r="G11" s="1" t="str">
        <f t="shared" si="1"/>
        <v>8th</v>
      </c>
      <c r="H11" s="6">
        <f>VLOOKUP(F11,League_Points!$A$2:$B$61,2)</f>
        <v>43</v>
      </c>
      <c r="J11" s="24">
        <f>IF(LEN(B11)-LEN(SUBSTITUTE(B11,"&amp;",""))&gt;0,CONCATENATE(COUNTIF('League Results'!$D$5:$D$91,MID(B11,1,FIND(" &amp; ",B11)-1)),"-",COUNTIF('League Results'!$D$5:$D$91,MID(B11,FIND(" &amp; ",B11)+3,LEN(B11)))),COUNTIF('League Results'!$D$5:$D$91,B11))</f>
        <v>1</v>
      </c>
    </row>
    <row r="12" spans="2:10" ht="16" thickBot="1" x14ac:dyDescent="0.4">
      <c r="B12" s="5" t="s">
        <v>77</v>
      </c>
      <c r="C12" s="1">
        <v>920</v>
      </c>
      <c r="D12" s="1"/>
      <c r="E12" s="1">
        <f t="shared" si="0"/>
        <v>920</v>
      </c>
      <c r="F12" s="1">
        <f t="array" ref="F12">COUNTIF($E$4:$E$84,"&gt;"&amp;E12)+1+SUMPRODUCT(--($E$4:$E$84=E12),--($D$4:$D$84&lt;D12))</f>
        <v>9</v>
      </c>
      <c r="G12" s="1" t="str">
        <f t="shared" si="1"/>
        <v>9th</v>
      </c>
      <c r="H12" s="6">
        <f>VLOOKUP(F12,League_Points!$A$2:$B$61,2)</f>
        <v>42</v>
      </c>
      <c r="J12" s="24">
        <f>IF(LEN(B12)-LEN(SUBSTITUTE(B12,"&amp;",""))&gt;0,CONCATENATE(COUNTIF('League Results'!$D$5:$D$91,MID(B12,1,FIND(" &amp; ",B12)-1)),"-",COUNTIF('League Results'!$D$5:$D$91,MID(B12,FIND(" &amp; ",B12)+3,LEN(B12)))),COUNTIF('League Results'!$D$5:$D$91,B12))</f>
        <v>1</v>
      </c>
    </row>
    <row r="13" spans="2:10" ht="16" thickBot="1" x14ac:dyDescent="0.4">
      <c r="B13" s="5" t="s">
        <v>10</v>
      </c>
      <c r="C13" s="1">
        <v>890</v>
      </c>
      <c r="D13" s="1"/>
      <c r="E13" s="1">
        <f t="shared" si="0"/>
        <v>890</v>
      </c>
      <c r="F13" s="1">
        <f t="array" ref="F13">COUNTIF($E$4:$E$84,"&gt;"&amp;E13)+1+SUMPRODUCT(--($E$4:$E$84=E13),--($D$4:$D$84&lt;D13))</f>
        <v>10</v>
      </c>
      <c r="G13" s="1" t="str">
        <f t="shared" si="1"/>
        <v>10th</v>
      </c>
      <c r="H13" s="6">
        <f>VLOOKUP(F13,League_Points!$A$2:$B$61,2)</f>
        <v>41</v>
      </c>
      <c r="J13" s="24">
        <f>IF(LEN(B13)-LEN(SUBSTITUTE(B13,"&amp;",""))&gt;0,CONCATENATE(COUNTIF('League Results'!$D$5:$D$91,MID(B13,1,FIND(" &amp; ",B13)-1)),"-",COUNTIF('League Results'!$D$5:$D$91,MID(B13,FIND(" &amp; ",B13)+3,LEN(B13)))),COUNTIF('League Results'!$D$5:$D$91,B13))</f>
        <v>1</v>
      </c>
    </row>
    <row r="14" spans="2:10" ht="16" thickBot="1" x14ac:dyDescent="0.4">
      <c r="B14" s="5" t="s">
        <v>78</v>
      </c>
      <c r="C14" s="1">
        <v>890</v>
      </c>
      <c r="D14" s="1"/>
      <c r="E14" s="1">
        <f t="shared" si="0"/>
        <v>890</v>
      </c>
      <c r="F14" s="1">
        <f t="array" ref="F14">COUNTIF($E$4:$E$84,"&gt;"&amp;E14)+1+SUMPRODUCT(--($E$4:$E$84=E14),--($D$4:$D$84&lt;D14))</f>
        <v>10</v>
      </c>
      <c r="G14" s="1" t="str">
        <f t="shared" si="1"/>
        <v>10th</v>
      </c>
      <c r="H14" s="6">
        <f>VLOOKUP(F14,League_Points!$A$2:$B$61,2)</f>
        <v>41</v>
      </c>
      <c r="J14" s="24">
        <f>IF(LEN(B14)-LEN(SUBSTITUTE(B14,"&amp;",""))&gt;0,CONCATENATE(COUNTIF('League Results'!$D$5:$D$91,MID(B14,1,FIND(" &amp; ",B14)-1)),"-",COUNTIF('League Results'!$D$5:$D$91,MID(B14,FIND(" &amp; ",B14)+3,LEN(B14)))),COUNTIF('League Results'!$D$5:$D$91,B14))</f>
        <v>1</v>
      </c>
    </row>
    <row r="15" spans="2:10" ht="16" thickBot="1" x14ac:dyDescent="0.4">
      <c r="B15" s="5" t="s">
        <v>80</v>
      </c>
      <c r="C15" s="1">
        <v>870</v>
      </c>
      <c r="D15" s="1"/>
      <c r="E15" s="1">
        <f t="shared" si="0"/>
        <v>870</v>
      </c>
      <c r="F15" s="1">
        <f t="array" ref="F15">COUNTIF($E$4:$E$84,"&gt;"&amp;E15)+1+SUMPRODUCT(--($E$4:$E$84=E15),--($D$4:$D$84&lt;D15))</f>
        <v>12</v>
      </c>
      <c r="G15" s="1" t="str">
        <f t="shared" si="1"/>
        <v>12th</v>
      </c>
      <c r="H15" s="6">
        <f>VLOOKUP(F15,League_Points!$A$2:$B$61,2)</f>
        <v>39</v>
      </c>
      <c r="J15" s="24">
        <f>IF(LEN(B15)-LEN(SUBSTITUTE(B15,"&amp;",""))&gt;0,CONCATENATE(COUNTIF('League Results'!$D$5:$D$91,MID(B15,1,FIND(" &amp; ",B15)-1)),"-",COUNTIF('League Results'!$D$5:$D$91,MID(B15,FIND(" &amp; ",B15)+3,LEN(B15)))),COUNTIF('League Results'!$D$5:$D$91,B15))</f>
        <v>1</v>
      </c>
    </row>
    <row r="16" spans="2:10" ht="16" thickBot="1" x14ac:dyDescent="0.4">
      <c r="B16" s="5" t="s">
        <v>59</v>
      </c>
      <c r="C16" s="1">
        <v>860</v>
      </c>
      <c r="D16" s="1"/>
      <c r="E16" s="1">
        <f t="shared" si="0"/>
        <v>860</v>
      </c>
      <c r="F16" s="1">
        <f t="array" ref="F16">COUNTIF($E$4:$E$84,"&gt;"&amp;E16)+1+SUMPRODUCT(--($E$4:$E$84=E16),--($D$4:$D$84&lt;D16))</f>
        <v>13</v>
      </c>
      <c r="G16" s="1" t="str">
        <f t="shared" si="1"/>
        <v>13th</v>
      </c>
      <c r="H16" s="6">
        <f>VLOOKUP(F16,League_Points!$A$2:$B$61,2)</f>
        <v>38</v>
      </c>
      <c r="J16" s="24">
        <f>IF(LEN(B16)-LEN(SUBSTITUTE(B16,"&amp;",""))&gt;0,CONCATENATE(COUNTIF('League Results'!$D$5:$D$91,MID(B16,1,FIND(" &amp; ",B16)-1)),"-",COUNTIF('League Results'!$D$5:$D$91,MID(B16,FIND(" &amp; ",B16)+3,LEN(B16)))),COUNTIF('League Results'!$D$5:$D$91,B16))</f>
        <v>1</v>
      </c>
    </row>
    <row r="17" spans="2:10" ht="16" thickBot="1" x14ac:dyDescent="0.4">
      <c r="B17" s="5" t="s">
        <v>79</v>
      </c>
      <c r="C17" s="1">
        <v>860</v>
      </c>
      <c r="D17" s="1"/>
      <c r="E17" s="1">
        <f t="shared" si="0"/>
        <v>860</v>
      </c>
      <c r="F17" s="1">
        <f t="array" ref="F17">COUNTIF($E$4:$E$84,"&gt;"&amp;E17)+1+SUMPRODUCT(--($E$4:$E$84=E17),--($D$4:$D$84&lt;D17))</f>
        <v>13</v>
      </c>
      <c r="G17" s="1" t="str">
        <f t="shared" si="1"/>
        <v>13th</v>
      </c>
      <c r="H17" s="6">
        <f>VLOOKUP(F17,League_Points!$A$2:$B$61,2)</f>
        <v>38</v>
      </c>
      <c r="J17" s="24">
        <f>IF(LEN(B17)-LEN(SUBSTITUTE(B17,"&amp;",""))&gt;0,CONCATENATE(COUNTIF('League Results'!$D$5:$D$91,MID(B17,1,FIND(" &amp; ",B17)-1)),"-",COUNTIF('League Results'!$D$5:$D$91,MID(B17,FIND(" &amp; ",B17)+3,LEN(B17)))),COUNTIF('League Results'!$D$5:$D$91,B17))</f>
        <v>1</v>
      </c>
    </row>
    <row r="18" spans="2:10" ht="16" thickBot="1" x14ac:dyDescent="0.4">
      <c r="B18" s="5" t="s">
        <v>18</v>
      </c>
      <c r="C18" s="1">
        <v>850</v>
      </c>
      <c r="D18" s="1"/>
      <c r="E18" s="1">
        <f t="shared" si="0"/>
        <v>850</v>
      </c>
      <c r="F18" s="1">
        <f t="array" ref="F18">COUNTIF($E$4:$E$84,"&gt;"&amp;E18)+1+SUMPRODUCT(--($E$4:$E$84=E18),--($D$4:$D$84&lt;D18))</f>
        <v>15</v>
      </c>
      <c r="G18" s="1" t="str">
        <f t="shared" si="1"/>
        <v>15th</v>
      </c>
      <c r="H18" s="6">
        <f>VLOOKUP(F18,League_Points!$A$2:$B$61,2)</f>
        <v>36</v>
      </c>
      <c r="J18" s="24">
        <f>IF(LEN(B18)-LEN(SUBSTITUTE(B18,"&amp;",""))&gt;0,CONCATENATE(COUNTIF('League Results'!$D$5:$D$91,MID(B18,1,FIND(" &amp; ",B18)-1)),"-",COUNTIF('League Results'!$D$5:$D$91,MID(B18,FIND(" &amp; ",B18)+3,LEN(B18)))),COUNTIF('League Results'!$D$5:$D$91,B18))</f>
        <v>1</v>
      </c>
    </row>
    <row r="19" spans="2:10" ht="16" thickBot="1" x14ac:dyDescent="0.4">
      <c r="B19" s="5" t="s">
        <v>65</v>
      </c>
      <c r="C19" s="1">
        <v>850</v>
      </c>
      <c r="D19" s="1"/>
      <c r="E19" s="1">
        <f t="shared" si="0"/>
        <v>850</v>
      </c>
      <c r="F19" s="1">
        <f t="array" ref="F19">COUNTIF($E$4:$E$84,"&gt;"&amp;E19)+1+SUMPRODUCT(--($E$4:$E$84=E19),--($D$4:$D$84&lt;D19))</f>
        <v>15</v>
      </c>
      <c r="G19" s="1" t="str">
        <f t="shared" si="1"/>
        <v>15th</v>
      </c>
      <c r="H19" s="6">
        <f>VLOOKUP(F19,League_Points!$A$2:$B$61,2)</f>
        <v>36</v>
      </c>
      <c r="J19" s="24">
        <f>IF(LEN(B19)-LEN(SUBSTITUTE(B19,"&amp;",""))&gt;0,CONCATENATE(COUNTIF('League Results'!$D$5:$D$91,MID(B19,1,FIND(" &amp; ",B19)-1)),"-",COUNTIF('League Results'!$D$5:$D$91,MID(B19,FIND(" &amp; ",B19)+3,LEN(B19)))),COUNTIF('League Results'!$D$5:$D$91,B19))</f>
        <v>1</v>
      </c>
    </row>
    <row r="20" spans="2:10" ht="16" thickBot="1" x14ac:dyDescent="0.4">
      <c r="B20" s="5" t="s">
        <v>82</v>
      </c>
      <c r="C20" s="1">
        <v>910</v>
      </c>
      <c r="D20" s="1">
        <v>60</v>
      </c>
      <c r="E20" s="1">
        <f t="shared" si="0"/>
        <v>850</v>
      </c>
      <c r="F20" s="1">
        <f t="array" ref="F20">COUNTIF($E$4:$E$84,"&gt;"&amp;E20)+1+SUMPRODUCT(--($E$4:$E$84=E20),--($D$4:$D$84&lt;D20))</f>
        <v>17</v>
      </c>
      <c r="G20" s="1" t="str">
        <f t="shared" si="1"/>
        <v>17th</v>
      </c>
      <c r="H20" s="6">
        <f>VLOOKUP(F20,League_Points!$A$2:$B$61,2)</f>
        <v>34</v>
      </c>
      <c r="J20" s="24">
        <f>IF(LEN(B20)-LEN(SUBSTITUTE(B20,"&amp;",""))&gt;0,CONCATENATE(COUNTIF('League Results'!$D$5:$D$91,MID(B20,1,FIND(" &amp; ",B20)-1)),"-",COUNTIF('League Results'!$D$5:$D$91,MID(B20,FIND(" &amp; ",B20)+3,LEN(B20)))),COUNTIF('League Results'!$D$5:$D$91,B20))</f>
        <v>1</v>
      </c>
    </row>
    <row r="21" spans="2:10" ht="16" thickBot="1" x14ac:dyDescent="0.4">
      <c r="B21" s="5" t="s">
        <v>83</v>
      </c>
      <c r="C21" s="1">
        <v>840</v>
      </c>
      <c r="D21" s="1"/>
      <c r="E21" s="1">
        <f t="shared" si="0"/>
        <v>840</v>
      </c>
      <c r="F21" s="1">
        <f t="array" ref="F21">COUNTIF($E$4:$E$84,"&gt;"&amp;E21)+1+SUMPRODUCT(--($E$4:$E$84=E21),--($D$4:$D$84&lt;D21))</f>
        <v>18</v>
      </c>
      <c r="G21" s="1" t="str">
        <f t="shared" si="1"/>
        <v>18th</v>
      </c>
      <c r="H21" s="6">
        <f>VLOOKUP(F21,League_Points!$A$2:$B$61,2)</f>
        <v>33</v>
      </c>
      <c r="J21" s="24">
        <f>IF(LEN(B21)-LEN(SUBSTITUTE(B21,"&amp;",""))&gt;0,CONCATENATE(COUNTIF('League Results'!$D$5:$D$91,MID(B21,1,FIND(" &amp; ",B21)-1)),"-",COUNTIF('League Results'!$D$5:$D$91,MID(B21,FIND(" &amp; ",B21)+3,LEN(B21)))),COUNTIF('League Results'!$D$5:$D$91,B21))</f>
        <v>1</v>
      </c>
    </row>
    <row r="22" spans="2:10" ht="16" thickBot="1" x14ac:dyDescent="0.4">
      <c r="B22" s="5" t="s">
        <v>84</v>
      </c>
      <c r="C22" s="1">
        <v>890</v>
      </c>
      <c r="D22" s="1">
        <v>60</v>
      </c>
      <c r="E22" s="1">
        <f t="shared" si="0"/>
        <v>830</v>
      </c>
      <c r="F22" s="1">
        <f t="array" ref="F22">COUNTIF($E$4:$E$84,"&gt;"&amp;E22)+1+SUMPRODUCT(--($E$4:$E$84=E22),--($D$4:$D$84&lt;D22))</f>
        <v>19</v>
      </c>
      <c r="G22" s="1" t="str">
        <f t="shared" si="1"/>
        <v>19th</v>
      </c>
      <c r="H22" s="6">
        <f>VLOOKUP(F22,League_Points!$A$2:$B$61,2)</f>
        <v>32</v>
      </c>
      <c r="J22" s="24">
        <f>IF(LEN(B22)-LEN(SUBSTITUTE(B22,"&amp;",""))&gt;0,CONCATENATE(COUNTIF('League Results'!$D$5:$D$91,MID(B22,1,FIND(" &amp; ",B22)-1)),"-",COUNTIF('League Results'!$D$5:$D$91,MID(B22,FIND(" &amp; ",B22)+3,LEN(B22)))),COUNTIF('League Results'!$D$5:$D$91,B22))</f>
        <v>1</v>
      </c>
    </row>
    <row r="23" spans="2:10" ht="16" thickBot="1" x14ac:dyDescent="0.4">
      <c r="B23" s="5" t="s">
        <v>28</v>
      </c>
      <c r="C23" s="1">
        <v>790</v>
      </c>
      <c r="D23" s="1"/>
      <c r="E23" s="1">
        <f t="shared" si="0"/>
        <v>790</v>
      </c>
      <c r="F23" s="1">
        <f t="array" ref="F23">COUNTIF($E$4:$E$84,"&gt;"&amp;E23)+1+SUMPRODUCT(--($E$4:$E$84=E23),--($D$4:$D$84&lt;D23))</f>
        <v>20</v>
      </c>
      <c r="G23" s="1" t="str">
        <f t="shared" si="1"/>
        <v>20th</v>
      </c>
      <c r="H23" s="6">
        <f>VLOOKUP(F23,League_Points!$A$2:$B$61,2)</f>
        <v>31</v>
      </c>
      <c r="J23" s="24">
        <f>IF(LEN(B23)-LEN(SUBSTITUTE(B23,"&amp;",""))&gt;0,CONCATENATE(COUNTIF('League Results'!$D$5:$D$91,MID(B23,1,FIND(" &amp; ",B23)-1)),"-",COUNTIF('League Results'!$D$5:$D$91,MID(B23,FIND(" &amp; ",B23)+3,LEN(B23)))),COUNTIF('League Results'!$D$5:$D$91,B23))</f>
        <v>1</v>
      </c>
    </row>
    <row r="24" spans="2:10" ht="16" thickBot="1" x14ac:dyDescent="0.4">
      <c r="B24" s="5" t="s">
        <v>73</v>
      </c>
      <c r="C24" s="1">
        <v>780</v>
      </c>
      <c r="D24" s="1"/>
      <c r="E24" s="1">
        <f t="shared" si="0"/>
        <v>780</v>
      </c>
      <c r="F24" s="1">
        <f t="array" ref="F24">COUNTIF($E$4:$E$84,"&gt;"&amp;E24)+1+SUMPRODUCT(--($E$4:$E$84=E24),--($D$4:$D$84&lt;D24))</f>
        <v>21</v>
      </c>
      <c r="G24" s="1" t="str">
        <f t="shared" si="1"/>
        <v>21st</v>
      </c>
      <c r="H24" s="6">
        <f>VLOOKUP(F24,League_Points!$A$2:$B$61,2)</f>
        <v>30</v>
      </c>
      <c r="J24" s="24">
        <f>IF(LEN(B24)-LEN(SUBSTITUTE(B24,"&amp;",""))&gt;0,CONCATENATE(COUNTIF('League Results'!$D$5:$D$91,MID(B24,1,FIND(" &amp; ",B24)-1)),"-",COUNTIF('League Results'!$D$5:$D$91,MID(B24,FIND(" &amp; ",B24)+3,LEN(B24)))),COUNTIF('League Results'!$D$5:$D$91,B24))</f>
        <v>1</v>
      </c>
    </row>
    <row r="25" spans="2:10" ht="16" thickBot="1" x14ac:dyDescent="0.4">
      <c r="B25" s="5" t="s">
        <v>12</v>
      </c>
      <c r="C25" s="1">
        <v>770</v>
      </c>
      <c r="D25" s="1"/>
      <c r="E25" s="1">
        <f t="shared" si="0"/>
        <v>770</v>
      </c>
      <c r="F25" s="1">
        <f t="array" ref="F25">COUNTIF($E$4:$E$84,"&gt;"&amp;E25)+1+SUMPRODUCT(--($E$4:$E$84=E25),--($D$4:$D$84&lt;D25))</f>
        <v>22</v>
      </c>
      <c r="G25" s="1" t="str">
        <f t="shared" si="1"/>
        <v>22nd</v>
      </c>
      <c r="H25" s="6">
        <f>VLOOKUP(F25,League_Points!$A$2:$B$61,2)</f>
        <v>29</v>
      </c>
      <c r="J25" s="24">
        <f>IF(LEN(B25)-LEN(SUBSTITUTE(B25,"&amp;",""))&gt;0,CONCATENATE(COUNTIF('League Results'!$D$5:$D$91,MID(B25,1,FIND(" &amp; ",B25)-1)),"-",COUNTIF('League Results'!$D$5:$D$91,MID(B25,FIND(" &amp; ",B25)+3,LEN(B25)))),COUNTIF('League Results'!$D$5:$D$91,B25))</f>
        <v>1</v>
      </c>
    </row>
    <row r="26" spans="2:10" ht="16" thickBot="1" x14ac:dyDescent="0.4">
      <c r="B26" s="5" t="s">
        <v>29</v>
      </c>
      <c r="C26" s="1">
        <v>750</v>
      </c>
      <c r="D26" s="1"/>
      <c r="E26" s="1">
        <f t="shared" si="0"/>
        <v>750</v>
      </c>
      <c r="F26" s="1">
        <f t="array" ref="F26">COUNTIF($E$4:$E$84,"&gt;"&amp;E26)+1+SUMPRODUCT(--($E$4:$E$84=E26),--($D$4:$D$84&lt;D26))</f>
        <v>23</v>
      </c>
      <c r="G26" s="1" t="str">
        <f t="shared" si="1"/>
        <v>23rd</v>
      </c>
      <c r="H26" s="6">
        <f>VLOOKUP(F26,League_Points!$A$2:$B$61,2)</f>
        <v>28</v>
      </c>
      <c r="J26" s="24">
        <f>IF(LEN(B26)-LEN(SUBSTITUTE(B26,"&amp;",""))&gt;0,CONCATENATE(COUNTIF('League Results'!$D$5:$D$91,MID(B26,1,FIND(" &amp; ",B26)-1)),"-",COUNTIF('League Results'!$D$5:$D$91,MID(B26,FIND(" &amp; ",B26)+3,LEN(B26)))),COUNTIF('League Results'!$D$5:$D$91,B26))</f>
        <v>1</v>
      </c>
    </row>
    <row r="27" spans="2:10" ht="16" thickBot="1" x14ac:dyDescent="0.4">
      <c r="B27" s="5" t="s">
        <v>17</v>
      </c>
      <c r="C27" s="1">
        <v>750</v>
      </c>
      <c r="D27" s="1"/>
      <c r="E27" s="1">
        <f t="shared" si="0"/>
        <v>750</v>
      </c>
      <c r="F27" s="1">
        <f t="array" ref="F27">COUNTIF($E$4:$E$84,"&gt;"&amp;E27)+1+SUMPRODUCT(--($E$4:$E$84=E27),--($D$4:$D$84&lt;D27))</f>
        <v>23</v>
      </c>
      <c r="G27" s="1" t="str">
        <f t="shared" si="1"/>
        <v>23rd</v>
      </c>
      <c r="H27" s="6">
        <f>VLOOKUP(F27,League_Points!$A$2:$B$61,2)</f>
        <v>28</v>
      </c>
      <c r="J27" s="24">
        <f>IF(LEN(B27)-LEN(SUBSTITUTE(B27,"&amp;",""))&gt;0,CONCATENATE(COUNTIF('League Results'!$D$5:$D$91,MID(B27,1,FIND(" &amp; ",B27)-1)),"-",COUNTIF('League Results'!$D$5:$D$91,MID(B27,FIND(" &amp; ",B27)+3,LEN(B27)))),COUNTIF('League Results'!$D$5:$D$91,B27))</f>
        <v>1</v>
      </c>
    </row>
    <row r="28" spans="2:10" ht="16" thickBot="1" x14ac:dyDescent="0.4">
      <c r="B28" s="5" t="s">
        <v>64</v>
      </c>
      <c r="C28" s="1">
        <v>720</v>
      </c>
      <c r="D28" s="1"/>
      <c r="E28" s="1">
        <f t="shared" si="0"/>
        <v>720</v>
      </c>
      <c r="F28" s="1">
        <f t="array" ref="F28">COUNTIF($E$4:$E$84,"&gt;"&amp;E28)+1+SUMPRODUCT(--($E$4:$E$84=E28),--($D$4:$D$84&lt;D28))</f>
        <v>25</v>
      </c>
      <c r="G28" s="1" t="str">
        <f t="shared" si="1"/>
        <v>25th</v>
      </c>
      <c r="H28" s="6">
        <f>VLOOKUP(F28,League_Points!$A$2:$B$61,2)</f>
        <v>26</v>
      </c>
      <c r="J28" s="24">
        <f>IF(LEN(B28)-LEN(SUBSTITUTE(B28,"&amp;",""))&gt;0,CONCATENATE(COUNTIF('League Results'!$D$5:$D$91,MID(B28,1,FIND(" &amp; ",B28)-1)),"-",COUNTIF('League Results'!$D$5:$D$91,MID(B28,FIND(" &amp; ",B28)+3,LEN(B28)))),COUNTIF('League Results'!$D$5:$D$91,B28))</f>
        <v>1</v>
      </c>
    </row>
    <row r="29" spans="2:10" ht="16" thickBot="1" x14ac:dyDescent="0.4">
      <c r="B29" s="5" t="s">
        <v>85</v>
      </c>
      <c r="C29" s="1">
        <v>700</v>
      </c>
      <c r="D29" s="1"/>
      <c r="E29" s="1">
        <f t="shared" si="0"/>
        <v>700</v>
      </c>
      <c r="F29" s="1">
        <f t="array" ref="F29">COUNTIF($E$4:$E$84,"&gt;"&amp;E29)+1+SUMPRODUCT(--($E$4:$E$84=E29),--($D$4:$D$84&lt;D29))</f>
        <v>26</v>
      </c>
      <c r="G29" s="1" t="str">
        <f t="shared" si="1"/>
        <v>26th</v>
      </c>
      <c r="H29" s="6">
        <f>VLOOKUP(F29,League_Points!$A$2:$B$61,2)</f>
        <v>25</v>
      </c>
      <c r="J29" s="24">
        <f>IF(LEN(B29)-LEN(SUBSTITUTE(B29,"&amp;",""))&gt;0,CONCATENATE(COUNTIF('League Results'!$D$5:$D$91,MID(B29,1,FIND(" &amp; ",B29)-1)),"-",COUNTIF('League Results'!$D$5:$D$91,MID(B29,FIND(" &amp; ",B29)+3,LEN(B29)))),COUNTIF('League Results'!$D$5:$D$91,B29))</f>
        <v>1</v>
      </c>
    </row>
    <row r="30" spans="2:10" ht="16" thickBot="1" x14ac:dyDescent="0.4">
      <c r="B30" s="5" t="s">
        <v>93</v>
      </c>
      <c r="C30" s="1">
        <v>690</v>
      </c>
      <c r="D30" s="1"/>
      <c r="E30" s="1">
        <f t="shared" si="0"/>
        <v>690</v>
      </c>
      <c r="F30" s="1">
        <f t="array" ref="F30">COUNTIF($E$4:$E$84,"&gt;"&amp;E30)+1+SUMPRODUCT(--($E$4:$E$84=E30),--($D$4:$D$84&lt;D30))</f>
        <v>27</v>
      </c>
      <c r="G30" s="1" t="str">
        <f t="shared" si="1"/>
        <v>27th</v>
      </c>
      <c r="H30" s="6">
        <f>VLOOKUP(F30,League_Points!$A$2:$B$61,2)</f>
        <v>24</v>
      </c>
      <c r="J30" s="24">
        <f>IF(LEN(B30)-LEN(SUBSTITUTE(B30,"&amp;",""))&gt;0,CONCATENATE(COUNTIF('League Results'!$D$5:$D$91,MID(B30,1,FIND(" &amp; ",B30)-1)),"-",COUNTIF('League Results'!$D$5:$D$91,MID(B30,FIND(" &amp; ",B30)+3,LEN(B30)))),COUNTIF('League Results'!$D$5:$D$91,B30))</f>
        <v>1</v>
      </c>
    </row>
    <row r="31" spans="2:10" ht="16" thickBot="1" x14ac:dyDescent="0.4">
      <c r="B31" s="5" t="s">
        <v>86</v>
      </c>
      <c r="C31" s="1">
        <v>690</v>
      </c>
      <c r="D31" s="1"/>
      <c r="E31" s="1">
        <f t="shared" si="0"/>
        <v>690</v>
      </c>
      <c r="F31" s="1">
        <f t="array" ref="F31">COUNTIF($E$4:$E$84,"&gt;"&amp;E31)+1+SUMPRODUCT(--($E$4:$E$84=E31),--($D$4:$D$84&lt;D31))</f>
        <v>27</v>
      </c>
      <c r="G31" s="1" t="str">
        <f t="shared" si="1"/>
        <v>27th</v>
      </c>
      <c r="H31" s="6">
        <f>VLOOKUP(F31,League_Points!$A$2:$B$61,2)</f>
        <v>24</v>
      </c>
      <c r="J31" s="24">
        <f>IF(LEN(B31)-LEN(SUBSTITUTE(B31,"&amp;",""))&gt;0,CONCATENATE(COUNTIF('League Results'!$D$5:$D$91,MID(B31,1,FIND(" &amp; ",B31)-1)),"-",COUNTIF('League Results'!$D$5:$D$91,MID(B31,FIND(" &amp; ",B31)+3,LEN(B31)))),COUNTIF('League Results'!$D$5:$D$91,B31))</f>
        <v>1</v>
      </c>
    </row>
    <row r="32" spans="2:10" ht="16" thickBot="1" x14ac:dyDescent="0.4">
      <c r="B32" s="5" t="s">
        <v>87</v>
      </c>
      <c r="C32" s="1">
        <v>650</v>
      </c>
      <c r="D32" s="1"/>
      <c r="E32" s="1">
        <f t="shared" si="0"/>
        <v>650</v>
      </c>
      <c r="F32" s="1">
        <f t="array" ref="F32">COUNTIF($E$4:$E$84,"&gt;"&amp;E32)+1+SUMPRODUCT(--($E$4:$E$84=E32),--($D$4:$D$84&lt;D32))</f>
        <v>29</v>
      </c>
      <c r="G32" s="1" t="str">
        <f t="shared" si="1"/>
        <v>29th</v>
      </c>
      <c r="H32" s="6">
        <f>VLOOKUP(F32,League_Points!$A$2:$B$61,2)</f>
        <v>22</v>
      </c>
      <c r="J32" s="24">
        <f>IF(LEN(B32)-LEN(SUBSTITUTE(B32,"&amp;",""))&gt;0,CONCATENATE(COUNTIF('League Results'!$D$5:$D$91,MID(B32,1,FIND(" &amp; ",B32)-1)),"-",COUNTIF('League Results'!$D$5:$D$91,MID(B32,FIND(" &amp; ",B32)+3,LEN(B32)))),COUNTIF('League Results'!$D$5:$D$91,B32))</f>
        <v>1</v>
      </c>
    </row>
    <row r="33" spans="2:10" ht="16" thickBot="1" x14ac:dyDescent="0.4">
      <c r="B33" s="5" t="s">
        <v>88</v>
      </c>
      <c r="C33" s="1">
        <v>640</v>
      </c>
      <c r="D33" s="1"/>
      <c r="E33" s="1">
        <f t="shared" si="0"/>
        <v>640</v>
      </c>
      <c r="F33" s="1">
        <f t="array" ref="F33">COUNTIF($E$4:$E$84,"&gt;"&amp;E33)+1+SUMPRODUCT(--($E$4:$E$84=E33),--($D$4:$D$84&lt;D33))</f>
        <v>30</v>
      </c>
      <c r="G33" s="1" t="str">
        <f t="shared" si="1"/>
        <v>30th</v>
      </c>
      <c r="H33" s="6">
        <f>VLOOKUP(F33,League_Points!$A$2:$B$61,2)</f>
        <v>21</v>
      </c>
      <c r="J33" s="24">
        <f>IF(LEN(B33)-LEN(SUBSTITUTE(B33,"&amp;",""))&gt;0,CONCATENATE(COUNTIF('League Results'!$D$5:$D$91,MID(B33,1,FIND(" &amp; ",B33)-1)),"-",COUNTIF('League Results'!$D$5:$D$91,MID(B33,FIND(" &amp; ",B33)+3,LEN(B33)))),COUNTIF('League Results'!$D$5:$D$91,B33))</f>
        <v>1</v>
      </c>
    </row>
    <row r="34" spans="2:10" ht="16" thickBot="1" x14ac:dyDescent="0.4">
      <c r="B34" s="5" t="s">
        <v>89</v>
      </c>
      <c r="C34" s="1">
        <v>640</v>
      </c>
      <c r="D34" s="1"/>
      <c r="E34" s="1">
        <f t="shared" si="0"/>
        <v>640</v>
      </c>
      <c r="F34" s="1">
        <f t="array" ref="F34">COUNTIF($E$4:$E$84,"&gt;"&amp;E34)+1+SUMPRODUCT(--($E$4:$E$84=E34),--($D$4:$D$84&lt;D34))</f>
        <v>30</v>
      </c>
      <c r="G34" s="1" t="str">
        <f t="shared" si="1"/>
        <v>30th</v>
      </c>
      <c r="H34" s="6">
        <f>VLOOKUP(F34,League_Points!$A$2:$B$61,2)</f>
        <v>21</v>
      </c>
      <c r="J34" s="24">
        <f>IF(LEN(B34)-LEN(SUBSTITUTE(B34,"&amp;",""))&gt;0,CONCATENATE(COUNTIF('League Results'!$D$5:$D$91,MID(B34,1,FIND(" &amp; ",B34)-1)),"-",COUNTIF('League Results'!$D$5:$D$91,MID(B34,FIND(" &amp; ",B34)+3,LEN(B34)))),COUNTIF('League Results'!$D$5:$D$91,B34))</f>
        <v>1</v>
      </c>
    </row>
    <row r="35" spans="2:10" ht="16" thickBot="1" x14ac:dyDescent="0.4">
      <c r="B35" s="5" t="s">
        <v>97</v>
      </c>
      <c r="C35" s="1">
        <v>630</v>
      </c>
      <c r="D35" s="1"/>
      <c r="E35" s="1">
        <f t="shared" si="0"/>
        <v>630</v>
      </c>
      <c r="F35" s="1">
        <f t="array" ref="F35">COUNTIF($E$4:$E$84,"&gt;"&amp;E35)+1+SUMPRODUCT(--($E$4:$E$84=E35),--($D$4:$D$84&lt;D35))</f>
        <v>32</v>
      </c>
      <c r="G35" s="1" t="str">
        <f t="shared" si="1"/>
        <v>32nd</v>
      </c>
      <c r="H35" s="6">
        <f>VLOOKUP(F35,League_Points!$A$2:$B$61,2)</f>
        <v>19</v>
      </c>
      <c r="J35" s="24">
        <f>IF(LEN(B35)-LEN(SUBSTITUTE(B35,"&amp;",""))&gt;0,CONCATENATE(COUNTIF('League Results'!$D$5:$D$91,MID(B35,1,FIND(" &amp; ",B35)-1)),"-",COUNTIF('League Results'!$D$5:$D$91,MID(B35,FIND(" &amp; ",B35)+3,LEN(B35)))),COUNTIF('League Results'!$D$5:$D$91,B35))</f>
        <v>1</v>
      </c>
    </row>
    <row r="36" spans="2:10" ht="16" thickBot="1" x14ac:dyDescent="0.4">
      <c r="B36" s="5" t="s">
        <v>30</v>
      </c>
      <c r="C36" s="1">
        <v>620</v>
      </c>
      <c r="D36" s="1"/>
      <c r="E36" s="1">
        <f t="shared" si="0"/>
        <v>620</v>
      </c>
      <c r="F36" s="1">
        <f t="array" ref="F36">COUNTIF($E$4:$E$84,"&gt;"&amp;E36)+1+SUMPRODUCT(--($E$4:$E$84=E36),--($D$4:$D$84&lt;D36))</f>
        <v>33</v>
      </c>
      <c r="G36" s="1" t="str">
        <f t="shared" si="1"/>
        <v>33rd</v>
      </c>
      <c r="H36" s="6">
        <f>VLOOKUP(F36,League_Points!$A$2:$B$61,2)</f>
        <v>18</v>
      </c>
      <c r="J36" s="24">
        <f>IF(LEN(B36)-LEN(SUBSTITUTE(B36,"&amp;",""))&gt;0,CONCATENATE(COUNTIF('League Results'!$D$5:$D$91,MID(B36,1,FIND(" &amp; ",B36)-1)),"-",COUNTIF('League Results'!$D$5:$D$91,MID(B36,FIND(" &amp; ",B36)+3,LEN(B36)))),COUNTIF('League Results'!$D$5:$D$91,B36))</f>
        <v>1</v>
      </c>
    </row>
    <row r="37" spans="2:10" ht="16" thickBot="1" x14ac:dyDescent="0.4">
      <c r="B37" s="5" t="s">
        <v>16</v>
      </c>
      <c r="C37" s="1">
        <v>630</v>
      </c>
      <c r="D37" s="1">
        <v>30</v>
      </c>
      <c r="E37" s="1">
        <f t="shared" si="0"/>
        <v>600</v>
      </c>
      <c r="F37" s="1">
        <f t="array" ref="F37">COUNTIF($E$4:$E$84,"&gt;"&amp;E37)+1+SUMPRODUCT(--($E$4:$E$84=E37),--($D$4:$D$84&lt;D37))</f>
        <v>34</v>
      </c>
      <c r="G37" s="1" t="str">
        <f t="shared" si="1"/>
        <v>34th</v>
      </c>
      <c r="H37" s="6">
        <f>VLOOKUP(F37,League_Points!$A$2:$B$61,2)</f>
        <v>17</v>
      </c>
      <c r="J37" s="24">
        <f>IF(LEN(B37)-LEN(SUBSTITUTE(B37,"&amp;",""))&gt;0,CONCATENATE(COUNTIF('League Results'!$D$5:$D$91,MID(B37,1,FIND(" &amp; ",B37)-1)),"-",COUNTIF('League Results'!$D$5:$D$91,MID(B37,FIND(" &amp; ",B37)+3,LEN(B37)))),COUNTIF('League Results'!$D$5:$D$91,B37))</f>
        <v>1</v>
      </c>
    </row>
    <row r="38" spans="2:10" ht="16" thickBot="1" x14ac:dyDescent="0.4">
      <c r="B38" s="5" t="s">
        <v>15</v>
      </c>
      <c r="C38" s="1">
        <v>570</v>
      </c>
      <c r="D38" s="1"/>
      <c r="E38" s="1">
        <f t="shared" si="0"/>
        <v>570</v>
      </c>
      <c r="F38" s="1">
        <f t="array" ref="F38">COUNTIF($E$4:$E$84,"&gt;"&amp;E38)+1+SUMPRODUCT(--($E$4:$E$84=E38),--($D$4:$D$84&lt;D38))</f>
        <v>35</v>
      </c>
      <c r="G38" s="1" t="str">
        <f t="shared" si="1"/>
        <v>35th</v>
      </c>
      <c r="H38" s="6">
        <f>VLOOKUP(F38,League_Points!$A$2:$B$61,2)</f>
        <v>16</v>
      </c>
      <c r="J38" s="24">
        <f>IF(LEN(B38)-LEN(SUBSTITUTE(B38,"&amp;",""))&gt;0,CONCATENATE(COUNTIF('League Results'!$D$5:$D$91,MID(B38,1,FIND(" &amp; ",B38)-1)),"-",COUNTIF('League Results'!$D$5:$D$91,MID(B38,FIND(" &amp; ",B38)+3,LEN(B38)))),COUNTIF('League Results'!$D$5:$D$91,B38))</f>
        <v>1</v>
      </c>
    </row>
    <row r="39" spans="2:10" ht="16" thickBot="1" x14ac:dyDescent="0.4">
      <c r="B39" s="5" t="s">
        <v>90</v>
      </c>
      <c r="C39" s="1">
        <v>570</v>
      </c>
      <c r="D39" s="1"/>
      <c r="E39" s="1">
        <f t="shared" si="0"/>
        <v>570</v>
      </c>
      <c r="F39" s="1">
        <f t="array" ref="F39">COUNTIF($E$4:$E$84,"&gt;"&amp;E39)+1+SUMPRODUCT(--($E$4:$E$84=E39),--($D$4:$D$84&lt;D39))</f>
        <v>35</v>
      </c>
      <c r="G39" s="1" t="str">
        <f t="shared" si="1"/>
        <v>35th</v>
      </c>
      <c r="H39" s="6">
        <f>VLOOKUP(F39,League_Points!$A$2:$B$61,2)</f>
        <v>16</v>
      </c>
      <c r="J39" s="24">
        <f>IF(LEN(B39)-LEN(SUBSTITUTE(B39,"&amp;",""))&gt;0,CONCATENATE(COUNTIF('League Results'!$D$5:$D$91,MID(B39,1,FIND(" &amp; ",B39)-1)),"-",COUNTIF('League Results'!$D$5:$D$91,MID(B39,FIND(" &amp; ",B39)+3,LEN(B39)))),COUNTIF('League Results'!$D$5:$D$91,B39))</f>
        <v>1</v>
      </c>
    </row>
    <row r="40" spans="2:10" ht="16" thickBot="1" x14ac:dyDescent="0.4">
      <c r="B40" s="5" t="s">
        <v>21</v>
      </c>
      <c r="C40" s="1">
        <v>580</v>
      </c>
      <c r="D40" s="1">
        <v>60</v>
      </c>
      <c r="E40" s="1">
        <f t="shared" si="0"/>
        <v>520</v>
      </c>
      <c r="F40" s="1">
        <f t="array" ref="F40">COUNTIF($E$4:$E$84,"&gt;"&amp;E40)+1+SUMPRODUCT(--($E$4:$E$84=E40),--($D$4:$D$84&lt;D40))</f>
        <v>37</v>
      </c>
      <c r="G40" s="1" t="str">
        <f t="shared" si="1"/>
        <v>37th</v>
      </c>
      <c r="H40" s="6">
        <f>VLOOKUP(F40,League_Points!$A$2:$B$61,2)</f>
        <v>14</v>
      </c>
      <c r="J40" s="24">
        <f>IF(LEN(B40)-LEN(SUBSTITUTE(B40,"&amp;",""))&gt;0,CONCATENATE(COUNTIF('League Results'!$D$5:$D$91,MID(B40,1,FIND(" &amp; ",B40)-1)),"-",COUNTIF('League Results'!$D$5:$D$91,MID(B40,FIND(" &amp; ",B40)+3,LEN(B40)))),COUNTIF('League Results'!$D$5:$D$91,B40))</f>
        <v>1</v>
      </c>
    </row>
    <row r="41" spans="2:10" ht="16" thickBot="1" x14ac:dyDescent="0.4">
      <c r="B41" s="5" t="s">
        <v>67</v>
      </c>
      <c r="C41" s="1">
        <v>690</v>
      </c>
      <c r="D41" s="1">
        <v>210</v>
      </c>
      <c r="E41" s="1">
        <f t="shared" si="0"/>
        <v>480</v>
      </c>
      <c r="F41" s="1">
        <f t="array" ref="F41">COUNTIF($E$4:$E$84,"&gt;"&amp;E41)+1+SUMPRODUCT(--($E$4:$E$84=E41),--($D$4:$D$84&lt;D41))</f>
        <v>38</v>
      </c>
      <c r="G41" s="1" t="str">
        <f t="shared" si="1"/>
        <v>38th</v>
      </c>
      <c r="H41" s="6">
        <f>VLOOKUP(F41,League_Points!$A$2:$B$61,2)</f>
        <v>13</v>
      </c>
      <c r="J41" s="24">
        <f>IF(LEN(B41)-LEN(SUBSTITUTE(B41,"&amp;",""))&gt;0,CONCATENATE(COUNTIF('League Results'!$D$5:$D$91,MID(B41,1,FIND(" &amp; ",B41)-1)),"-",COUNTIF('League Results'!$D$5:$D$91,MID(B41,FIND(" &amp; ",B41)+3,LEN(B41)))),COUNTIF('League Results'!$D$5:$D$91,B41))</f>
        <v>1</v>
      </c>
    </row>
    <row r="42" spans="2:10" ht="16" thickBot="1" x14ac:dyDescent="0.4">
      <c r="B42" s="5" t="s">
        <v>91</v>
      </c>
      <c r="C42" s="1">
        <v>450</v>
      </c>
      <c r="D42" s="1"/>
      <c r="E42" s="1">
        <f t="shared" si="0"/>
        <v>450</v>
      </c>
      <c r="F42" s="1">
        <f t="array" ref="F42">COUNTIF($E$4:$E$84,"&gt;"&amp;E42)+1+SUMPRODUCT(--($E$4:$E$84=E42),--($D$4:$D$84&lt;D42))</f>
        <v>39</v>
      </c>
      <c r="G42" s="1" t="str">
        <f t="shared" si="1"/>
        <v>39th</v>
      </c>
      <c r="H42" s="6">
        <f>VLOOKUP(F42,League_Points!$A$2:$B$61,2)</f>
        <v>12</v>
      </c>
      <c r="J42" s="24">
        <f>IF(LEN(B42)-LEN(SUBSTITUTE(B42,"&amp;",""))&gt;0,CONCATENATE(COUNTIF('League Results'!$D$5:$D$91,MID(B42,1,FIND(" &amp; ",B42)-1)),"-",COUNTIF('League Results'!$D$5:$D$91,MID(B42,FIND(" &amp; ",B42)+3,LEN(B42)))),COUNTIF('League Results'!$D$5:$D$91,B42))</f>
        <v>1</v>
      </c>
    </row>
    <row r="43" spans="2:10" ht="16" thickBot="1" x14ac:dyDescent="0.4">
      <c r="B43" s="5" t="s">
        <v>20</v>
      </c>
      <c r="C43" s="1">
        <v>470</v>
      </c>
      <c r="D43" s="1">
        <v>30</v>
      </c>
      <c r="E43" s="1">
        <f t="shared" si="0"/>
        <v>440</v>
      </c>
      <c r="F43" s="1">
        <f t="array" ref="F43">COUNTIF($E$4:$E$84,"&gt;"&amp;E43)+1+SUMPRODUCT(--($E$4:$E$84=E43),--($D$4:$D$84&lt;D43))</f>
        <v>40</v>
      </c>
      <c r="G43" s="1" t="str">
        <f t="shared" si="1"/>
        <v>40th</v>
      </c>
      <c r="H43" s="6">
        <f>VLOOKUP(F43,League_Points!$A$2:$B$61,2)</f>
        <v>11</v>
      </c>
      <c r="J43" s="24">
        <f>IF(LEN(B43)-LEN(SUBSTITUTE(B43,"&amp;",""))&gt;0,CONCATENATE(COUNTIF('League Results'!$D$5:$D$91,MID(B43,1,FIND(" &amp; ",B43)-1)),"-",COUNTIF('League Results'!$D$5:$D$91,MID(B43,FIND(" &amp; ",B43)+3,LEN(B43)))),COUNTIF('League Results'!$D$5:$D$91,B43))</f>
        <v>1</v>
      </c>
    </row>
    <row r="44" spans="2:10" ht="16" thickBot="1" x14ac:dyDescent="0.4">
      <c r="B44" s="5" t="s">
        <v>92</v>
      </c>
      <c r="C44" s="1">
        <v>400</v>
      </c>
      <c r="D44" s="1">
        <v>90</v>
      </c>
      <c r="E44" s="1">
        <f t="shared" si="0"/>
        <v>310</v>
      </c>
      <c r="F44" s="1">
        <f t="array" ref="F44">COUNTIF($E$4:$E$84,"&gt;"&amp;E44)+1+SUMPRODUCT(--($E$4:$E$84=E44),--($D$4:$D$84&lt;D44))</f>
        <v>41</v>
      </c>
      <c r="G44" s="1" t="str">
        <f t="shared" si="1"/>
        <v>41st</v>
      </c>
      <c r="H44" s="6">
        <f>VLOOKUP(F44,League_Points!$A$2:$B$61,2)</f>
        <v>10</v>
      </c>
      <c r="J44" s="24">
        <f>IF(LEN(B44)-LEN(SUBSTITUTE(B44,"&amp;",""))&gt;0,CONCATENATE(COUNTIF('League Results'!$D$5:$D$91,MID(B44,1,FIND(" &amp; ",B44)-1)),"-",COUNTIF('League Results'!$D$5:$D$91,MID(B44,FIND(" &amp; ",B44)+3,LEN(B44)))),COUNTIF('League Results'!$D$5:$D$91,B44))</f>
        <v>1</v>
      </c>
    </row>
    <row r="45" spans="2:10" ht="16" thickBot="1" x14ac:dyDescent="0.4">
      <c r="B45" s="5" t="s">
        <v>95</v>
      </c>
      <c r="C45" s="1">
        <v>300</v>
      </c>
      <c r="D45" s="1"/>
      <c r="E45" s="1">
        <f t="shared" si="0"/>
        <v>300</v>
      </c>
      <c r="F45" s="1">
        <f t="array" ref="F45">COUNTIF($E$4:$E$84,"&gt;"&amp;E45)+1+SUMPRODUCT(--($E$4:$E$84=E45),--($D$4:$D$84&lt;D45))</f>
        <v>42</v>
      </c>
      <c r="G45" s="1" t="str">
        <f t="shared" si="1"/>
        <v>42nd</v>
      </c>
      <c r="H45" s="6">
        <f>VLOOKUP(F45,League_Points!$A$2:$B$61,2)</f>
        <v>9</v>
      </c>
      <c r="J45" s="24">
        <f>IF(LEN(B45)-LEN(SUBSTITUTE(B45,"&amp;",""))&gt;0,CONCATENATE(COUNTIF('League Results'!$D$5:$D$91,MID(B45,1,FIND(" &amp; ",B45)-1)),"-",COUNTIF('League Results'!$D$5:$D$91,MID(B45,FIND(" &amp; ",B45)+3,LEN(B45)))),COUNTIF('League Results'!$D$5:$D$91,B45))</f>
        <v>1</v>
      </c>
    </row>
    <row r="46" spans="2:10" ht="16" thickBot="1" x14ac:dyDescent="0.4">
      <c r="B46" s="5" t="s">
        <v>96</v>
      </c>
      <c r="C46" s="1">
        <v>260</v>
      </c>
      <c r="D46" s="1"/>
      <c r="E46" s="1">
        <f t="shared" si="0"/>
        <v>260</v>
      </c>
      <c r="F46" s="1">
        <f t="array" ref="F46">COUNTIF($E$4:$E$84,"&gt;"&amp;E46)+1+SUMPRODUCT(--($E$4:$E$84=E46),--($D$4:$D$84&lt;D46))</f>
        <v>43</v>
      </c>
      <c r="G46" s="1" t="str">
        <f t="shared" si="1"/>
        <v>43rd</v>
      </c>
      <c r="H46" s="6">
        <f>VLOOKUP(F46,League_Points!$A$2:$B$61,2)</f>
        <v>8</v>
      </c>
      <c r="J46" s="24">
        <f>IF(LEN(B46)-LEN(SUBSTITUTE(B46,"&amp;",""))&gt;0,CONCATENATE(COUNTIF('League Results'!$D$5:$D$91,MID(B46,1,FIND(" &amp; ",B46)-1)),"-",COUNTIF('League Results'!$D$5:$D$91,MID(B46,FIND(" &amp; ",B46)+3,LEN(B46)))),COUNTIF('League Results'!$D$5:$D$91,B46))</f>
        <v>1</v>
      </c>
    </row>
    <row r="47" spans="2:10" ht="16" thickBot="1" x14ac:dyDescent="0.4">
      <c r="B47" s="7" t="s">
        <v>94</v>
      </c>
      <c r="C47" s="8" t="s">
        <v>22</v>
      </c>
      <c r="D47" s="8"/>
      <c r="E47" s="8"/>
      <c r="F47" s="8"/>
      <c r="G47" s="8"/>
      <c r="H47" s="9" t="s">
        <v>23</v>
      </c>
      <c r="J47" s="24">
        <f>IF(LEN(B47)-LEN(SUBSTITUTE(B47,"&amp;",""))&gt;0,CONCATENATE(COUNTIF('League Results'!$D$5:$D$91,MID(B47,1,FIND(" &amp; ",B47)-1)),"-",COUNTIF('League Results'!$D$5:$D$91,MID(B47,FIND(" &amp; ",B47)+3,LEN(B47)))),COUNTIF('League Results'!$D$5:$D$91,B47))</f>
        <v>1</v>
      </c>
    </row>
    <row r="49" spans="2:8" ht="71.25" customHeight="1" x14ac:dyDescent="0.35">
      <c r="B49" s="62" t="s">
        <v>24</v>
      </c>
      <c r="C49" s="62"/>
      <c r="D49" s="62"/>
      <c r="E49" s="62"/>
      <c r="F49" s="62"/>
      <c r="G49" s="62"/>
      <c r="H49" s="62"/>
    </row>
    <row r="51" spans="2:8" ht="64" customHeight="1" x14ac:dyDescent="0.35">
      <c r="B51" s="62" t="s">
        <v>25</v>
      </c>
      <c r="C51" s="62"/>
      <c r="D51" s="62"/>
      <c r="E51" s="62"/>
      <c r="F51" s="62"/>
      <c r="G51" s="62"/>
      <c r="H51" s="62"/>
    </row>
  </sheetData>
  <autoFilter ref="B3:H3" xr:uid="{00000000-0009-0000-0000-000001000000}">
    <sortState xmlns:xlrd2="http://schemas.microsoft.com/office/spreadsheetml/2017/richdata2" ref="B4:H47">
      <sortCondition descending="1" ref="E3"/>
    </sortState>
  </autoFilter>
  <mergeCells count="3">
    <mergeCell ref="B2:H2"/>
    <mergeCell ref="B49:H49"/>
    <mergeCell ref="B51:H51"/>
  </mergeCells>
  <conditionalFormatting sqref="J4:J47">
    <cfRule type="expression" dxfId="13" priority="2">
      <formula>AND($J4&lt;&gt;1,$J4&lt;&gt;"1-1")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fitToPage="1"/>
  </sheetPr>
  <dimension ref="B1:X54"/>
  <sheetViews>
    <sheetView topLeftCell="A31" workbookViewId="0">
      <selection activeCell="G55" sqref="G55"/>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 width="8.81640625" style="21"/>
    <col min="17" max="17" width="10.1796875" style="21" bestFit="1" customWidth="1"/>
    <col min="18" max="18" width="10" style="21" customWidth="1"/>
    <col min="19" max="20" width="8.81640625" style="21"/>
    <col min="21" max="21" width="8.81640625" style="21" customWidth="1"/>
    <col min="22" max="22" width="17.7265625" style="21" customWidth="1"/>
    <col min="23" max="23" width="13" style="21" customWidth="1"/>
    <col min="24" max="24" width="12.7265625" style="21" bestFit="1" customWidth="1"/>
    <col min="25" max="16384" width="8.81640625" style="21"/>
  </cols>
  <sheetData>
    <row r="1" spans="2:23" ht="10" customHeight="1" thickBot="1" x14ac:dyDescent="0.4"/>
    <row r="2" spans="2:23" ht="36" customHeight="1" thickBot="1" x14ac:dyDescent="0.4">
      <c r="B2" s="59" t="str">
        <f ca="1">CONCATENATE("Mole Valley Winter 2020/21 Street O Series - ",MID(CELL("Filename",A1),FIND("]",CELL("Filename",A1))+1,255), " Results")</f>
        <v>Mole Valley Winter 2020/21 Street O Series - Ashtead Results</v>
      </c>
      <c r="C2" s="60"/>
      <c r="D2" s="60"/>
      <c r="E2" s="60"/>
      <c r="F2" s="60"/>
      <c r="G2" s="60"/>
      <c r="H2" s="61"/>
    </row>
    <row r="3" spans="2:23" ht="31.5" thickBot="1" x14ac:dyDescent="0.4">
      <c r="B3" s="10" t="s">
        <v>0</v>
      </c>
      <c r="C3" s="11" t="s">
        <v>1</v>
      </c>
      <c r="D3" s="11" t="s">
        <v>2</v>
      </c>
      <c r="E3" s="11" t="s">
        <v>3</v>
      </c>
      <c r="F3" s="11" t="s">
        <v>4</v>
      </c>
      <c r="G3" s="11" t="s">
        <v>5</v>
      </c>
      <c r="H3" s="42" t="s">
        <v>6</v>
      </c>
      <c r="J3" s="18" t="s">
        <v>7</v>
      </c>
    </row>
    <row r="4" spans="2:23" ht="16" thickBot="1" x14ac:dyDescent="0.4">
      <c r="B4" s="2" t="s">
        <v>75</v>
      </c>
      <c r="C4" s="3">
        <v>830</v>
      </c>
      <c r="D4" s="3"/>
      <c r="E4" s="3">
        <f t="shared" ref="E4:E49" si="0">C4-D4</f>
        <v>830</v>
      </c>
      <c r="F4" s="3">
        <f t="array" ref="F4">COUNTIF($E$4:$E$87,"&gt;"&amp;E4)+1+SUMPRODUCT(--($E$4:$E$87=E4),--($D$4:$D$87&lt;D4))</f>
        <v>1</v>
      </c>
      <c r="G4" s="3" t="str">
        <f t="shared" ref="G4:G49" si="1">F4&amp;IF(AND(MOD(ABS(F4),100)&gt;10,MOD(ABS(F4),100)&lt;14),"th",CHOOSE(MOD(ABS(F4),10)+1,"th","st","nd","rd","th","th","th","th","th","th"))</f>
        <v>1st</v>
      </c>
      <c r="H4" s="4">
        <f>VLOOKUP(F4,League_Points!$A$2:$B$61,2)</f>
        <v>50</v>
      </c>
      <c r="J4" s="24">
        <f>IF(LEN(B4)-LEN(SUBSTITUTE(B4,"&amp;",""))&gt;0,CONCATENATE(COUNTIF('League Results'!$D$5:$D$95,MID(B4,1,FIND(" &amp; ",B4)-1)),"-",COUNTIF('League Results'!$D$5:$D$64,MID(B4,FIND(" &amp; ",B4)+3,LEN(B4)))),COUNTIF('League Results'!$D$5:$D$95,B4))</f>
        <v>1</v>
      </c>
      <c r="Q4" s="47"/>
      <c r="S4" s="48"/>
      <c r="W4" s="49"/>
    </row>
    <row r="5" spans="2:23" ht="16" thickBot="1" x14ac:dyDescent="0.4">
      <c r="B5" s="5" t="s">
        <v>14</v>
      </c>
      <c r="C5" s="1">
        <v>790</v>
      </c>
      <c r="D5" s="1">
        <v>30</v>
      </c>
      <c r="E5" s="1">
        <f t="shared" si="0"/>
        <v>760</v>
      </c>
      <c r="F5" s="1">
        <f t="array" ref="F5">COUNTIF($E$4:$E$87,"&gt;"&amp;E5)+1+SUMPRODUCT(--($E$4:$E$87=E5),--($D$4:$D$87&lt;D5))</f>
        <v>2</v>
      </c>
      <c r="G5" s="1" t="str">
        <f t="shared" si="1"/>
        <v>2nd</v>
      </c>
      <c r="H5" s="6">
        <f>VLOOKUP(F5,League_Points!$A$2:$B$61,2)</f>
        <v>49</v>
      </c>
      <c r="J5" s="24">
        <f>IF(LEN(B5)-LEN(SUBSTITUTE(B5,"&amp;",""))&gt;0,CONCATENATE(COUNTIF('League Results'!$D$5:$D$95,MID(B5,1,FIND(" &amp; ",B5)-1)),"-",COUNTIF('League Results'!$D$5:$D$64,MID(B5,FIND(" &amp; ",B5)+3,LEN(B5)))),COUNTIF('League Results'!$D$5:$D$95,B5))</f>
        <v>1</v>
      </c>
      <c r="Q5" s="47"/>
      <c r="S5" s="48"/>
      <c r="W5" s="49"/>
    </row>
    <row r="6" spans="2:23" ht="16" thickBot="1" x14ac:dyDescent="0.4">
      <c r="B6" s="5" t="s">
        <v>11</v>
      </c>
      <c r="C6" s="1">
        <v>750</v>
      </c>
      <c r="D6" s="1"/>
      <c r="E6" s="1">
        <f t="shared" si="0"/>
        <v>750</v>
      </c>
      <c r="F6" s="1">
        <f t="array" ref="F6">COUNTIF($E$4:$E$87,"&gt;"&amp;E6)+1+SUMPRODUCT(--($E$4:$E$87=E6),--($D$4:$D$87&lt;D6))</f>
        <v>3</v>
      </c>
      <c r="G6" s="1" t="str">
        <f t="shared" si="1"/>
        <v>3rd</v>
      </c>
      <c r="H6" s="6">
        <f>VLOOKUP(F6,League_Points!$A$2:$B$61,2)</f>
        <v>48</v>
      </c>
      <c r="J6" s="24">
        <f>IF(LEN(B6)-LEN(SUBSTITUTE(B6,"&amp;",""))&gt;0,CONCATENATE(COUNTIF('League Results'!$D$5:$D$95,MID(B6,1,FIND(" &amp; ",B6)-1)),"-",COUNTIF('League Results'!$D$5:$D$64,MID(B6,FIND(" &amp; ",B6)+3,LEN(B6)))),COUNTIF('League Results'!$D$5:$D$95,B6))</f>
        <v>1</v>
      </c>
      <c r="Q6" s="47"/>
      <c r="S6" s="48"/>
      <c r="W6" s="49"/>
    </row>
    <row r="7" spans="2:23" ht="16" thickBot="1" x14ac:dyDescent="0.4">
      <c r="B7" s="5" t="s">
        <v>58</v>
      </c>
      <c r="C7" s="1">
        <v>770</v>
      </c>
      <c r="D7" s="1">
        <v>30</v>
      </c>
      <c r="E7" s="1">
        <f t="shared" si="0"/>
        <v>740</v>
      </c>
      <c r="F7" s="1">
        <f t="array" ref="F7">COUNTIF($E$4:$E$87,"&gt;"&amp;E7)+1+SUMPRODUCT(--($E$4:$E$87=E7),--($D$4:$D$87&lt;D7))</f>
        <v>4</v>
      </c>
      <c r="G7" s="1" t="str">
        <f t="shared" si="1"/>
        <v>4th</v>
      </c>
      <c r="H7" s="6">
        <f>VLOOKUP(F7,League_Points!$A$2:$B$61,2)</f>
        <v>47</v>
      </c>
      <c r="J7" s="24">
        <f>IF(LEN(B7)-LEN(SUBSTITUTE(B7,"&amp;",""))&gt;0,CONCATENATE(COUNTIF('League Results'!$D$5:$D$95,MID(B7,1,FIND(" &amp; ",B7)-1)),"-",COUNTIF('League Results'!$D$5:$D$64,MID(B7,FIND(" &amp; ",B7)+3,LEN(B7)))),COUNTIF('League Results'!$D$5:$D$95,B7))</f>
        <v>1</v>
      </c>
      <c r="Q7" s="47"/>
      <c r="S7" s="48"/>
      <c r="W7" s="49"/>
    </row>
    <row r="8" spans="2:23" ht="16" thickBot="1" x14ac:dyDescent="0.4">
      <c r="B8" s="5" t="s">
        <v>79</v>
      </c>
      <c r="C8" s="1">
        <v>730</v>
      </c>
      <c r="D8" s="1"/>
      <c r="E8" s="1">
        <f t="shared" si="0"/>
        <v>730</v>
      </c>
      <c r="F8" s="1">
        <f t="array" ref="F8">COUNTIF($E$4:$E$87,"&gt;"&amp;E8)+1+SUMPRODUCT(--($E$4:$E$87=E8),--($D$4:$D$87&lt;D8))</f>
        <v>5</v>
      </c>
      <c r="G8" s="1" t="str">
        <f t="shared" si="1"/>
        <v>5th</v>
      </c>
      <c r="H8" s="6">
        <f>VLOOKUP(F8,League_Points!$A$2:$B$61,2)</f>
        <v>46</v>
      </c>
      <c r="J8" s="24">
        <f>IF(LEN(B8)-LEN(SUBSTITUTE(B8,"&amp;",""))&gt;0,CONCATENATE(COUNTIF('League Results'!$D$5:$D$95,MID(B8,1,FIND(" &amp; ",B8)-1)),"-",COUNTIF('League Results'!$D$5:$D$64,MID(B8,FIND(" &amp; ",B8)+3,LEN(B8)))),COUNTIF('League Results'!$D$5:$D$95,B8))</f>
        <v>1</v>
      </c>
      <c r="Q8" s="47"/>
      <c r="S8" s="48"/>
      <c r="W8" s="49"/>
    </row>
    <row r="9" spans="2:23" ht="16" thickBot="1" x14ac:dyDescent="0.4">
      <c r="B9" s="5" t="s">
        <v>94</v>
      </c>
      <c r="C9" s="1">
        <v>710</v>
      </c>
      <c r="D9" s="1"/>
      <c r="E9" s="1">
        <f t="shared" si="0"/>
        <v>710</v>
      </c>
      <c r="F9" s="1">
        <f t="array" ref="F9">COUNTIF($E$4:$E$87,"&gt;"&amp;E9)+1+SUMPRODUCT(--($E$4:$E$87=E9),--($D$4:$D$87&lt;D9))</f>
        <v>6</v>
      </c>
      <c r="G9" s="1" t="str">
        <f t="shared" si="1"/>
        <v>6th</v>
      </c>
      <c r="H9" s="6">
        <f>VLOOKUP(F9,League_Points!$A$2:$B$61,2)</f>
        <v>45</v>
      </c>
      <c r="J9" s="24">
        <f>IF(LEN(B9)-LEN(SUBSTITUTE(B9,"&amp;",""))&gt;0,CONCATENATE(COUNTIF('League Results'!$D$5:$D$95,MID(B9,1,FIND(" &amp; ",B9)-1)),"-",COUNTIF('League Results'!$D$5:$D$64,MID(B9,FIND(" &amp; ",B9)+3,LEN(B9)))),COUNTIF('League Results'!$D$5:$D$95,B9))</f>
        <v>1</v>
      </c>
      <c r="Q9" s="47"/>
      <c r="S9" s="48"/>
      <c r="W9" s="49"/>
    </row>
    <row r="10" spans="2:23" ht="16" thickBot="1" x14ac:dyDescent="0.4">
      <c r="B10" s="5" t="s">
        <v>26</v>
      </c>
      <c r="C10" s="1">
        <v>710</v>
      </c>
      <c r="D10" s="1"/>
      <c r="E10" s="1">
        <f t="shared" si="0"/>
        <v>710</v>
      </c>
      <c r="F10" s="1">
        <f t="array" ref="F10">COUNTIF($E$4:$E$87,"&gt;"&amp;E10)+1+SUMPRODUCT(--($E$4:$E$87=E10),--($D$4:$D$87&lt;D10))</f>
        <v>6</v>
      </c>
      <c r="G10" s="1" t="str">
        <f t="shared" si="1"/>
        <v>6th</v>
      </c>
      <c r="H10" s="6">
        <f>VLOOKUP(F10,League_Points!$A$2:$B$61,2)</f>
        <v>45</v>
      </c>
      <c r="J10" s="24">
        <f>IF(LEN(B10)-LEN(SUBSTITUTE(B10,"&amp;",""))&gt;0,CONCATENATE(COUNTIF('League Results'!$D$5:$D$95,MID(B10,1,FIND(" &amp; ",B10)-1)),"-",COUNTIF('League Results'!$D$5:$D$64,MID(B10,FIND(" &amp; ",B10)+3,LEN(B10)))),COUNTIF('League Results'!$D$5:$D$95,B10))</f>
        <v>1</v>
      </c>
      <c r="Q10" s="47"/>
      <c r="S10" s="48"/>
      <c r="W10" s="49"/>
    </row>
    <row r="11" spans="2:23" ht="16" thickBot="1" x14ac:dyDescent="0.4">
      <c r="B11" s="5" t="s">
        <v>27</v>
      </c>
      <c r="C11" s="1">
        <v>710</v>
      </c>
      <c r="D11" s="1"/>
      <c r="E11" s="1">
        <f t="shared" si="0"/>
        <v>710</v>
      </c>
      <c r="F11" s="1">
        <f t="array" ref="F11">COUNTIF($E$4:$E$87,"&gt;"&amp;E11)+1+SUMPRODUCT(--($E$4:$E$87=E11),--($D$4:$D$87&lt;D11))</f>
        <v>6</v>
      </c>
      <c r="G11" s="1" t="str">
        <f t="shared" si="1"/>
        <v>6th</v>
      </c>
      <c r="H11" s="6">
        <f>VLOOKUP(F11,League_Points!$A$2:$B$61,2)</f>
        <v>45</v>
      </c>
      <c r="J11" s="24">
        <f>IF(LEN(B11)-LEN(SUBSTITUTE(B11,"&amp;",""))&gt;0,CONCATENATE(COUNTIF('League Results'!$D$5:$D$95,MID(B11,1,FIND(" &amp; ",B11)-1)),"-",COUNTIF('League Results'!$D$5:$D$64,MID(B11,FIND(" &amp; ",B11)+3,LEN(B11)))),COUNTIF('League Results'!$D$5:$D$95,B11))</f>
        <v>1</v>
      </c>
      <c r="Q11" s="47"/>
      <c r="S11" s="48"/>
      <c r="W11" s="49"/>
    </row>
    <row r="12" spans="2:23" ht="16" thickBot="1" x14ac:dyDescent="0.4">
      <c r="B12" s="5" t="s">
        <v>83</v>
      </c>
      <c r="C12" s="1">
        <v>710</v>
      </c>
      <c r="D12" s="1"/>
      <c r="E12" s="1">
        <f t="shared" si="0"/>
        <v>710</v>
      </c>
      <c r="F12" s="1">
        <f t="array" ref="F12">COUNTIF($E$4:$E$87,"&gt;"&amp;E12)+1+SUMPRODUCT(--($E$4:$E$87=E12),--($D$4:$D$87&lt;D12))</f>
        <v>6</v>
      </c>
      <c r="G12" s="1" t="str">
        <f t="shared" si="1"/>
        <v>6th</v>
      </c>
      <c r="H12" s="6">
        <f>VLOOKUP(F12,League_Points!$A$2:$B$61,2)</f>
        <v>45</v>
      </c>
      <c r="J12" s="24">
        <f>IF(LEN(B12)-LEN(SUBSTITUTE(B12,"&amp;",""))&gt;0,CONCATENATE(COUNTIF('League Results'!$D$5:$D$95,MID(B12,1,FIND(" &amp; ",B12)-1)),"-",COUNTIF('League Results'!$D$5:$D$64,MID(B12,FIND(" &amp; ",B12)+3,LEN(B12)))),COUNTIF('League Results'!$D$5:$D$95,B12))</f>
        <v>1</v>
      </c>
      <c r="Q12" s="47"/>
      <c r="S12" s="48"/>
      <c r="W12" s="49"/>
    </row>
    <row r="13" spans="2:23" ht="16" thickBot="1" x14ac:dyDescent="0.4">
      <c r="B13" s="5" t="s">
        <v>78</v>
      </c>
      <c r="C13" s="1">
        <v>700</v>
      </c>
      <c r="D13" s="1"/>
      <c r="E13" s="1">
        <f t="shared" si="0"/>
        <v>700</v>
      </c>
      <c r="F13" s="1">
        <f t="array" ref="F13">COUNTIF($E$4:$E$87,"&gt;"&amp;E13)+1+SUMPRODUCT(--($E$4:$E$87=E13),--($D$4:$D$87&lt;D13))</f>
        <v>10</v>
      </c>
      <c r="G13" s="1" t="str">
        <f t="shared" si="1"/>
        <v>10th</v>
      </c>
      <c r="H13" s="6">
        <f>VLOOKUP(F13,League_Points!$A$2:$B$61,2)</f>
        <v>41</v>
      </c>
      <c r="J13" s="24">
        <f>IF(LEN(B13)-LEN(SUBSTITUTE(B13,"&amp;",""))&gt;0,CONCATENATE(COUNTIF('League Results'!$D$5:$D$95,MID(B13,1,FIND(" &amp; ",B13)-1)),"-",COUNTIF('League Results'!$D$5:$D$64,MID(B13,FIND(" &amp; ",B13)+3,LEN(B13)))),COUNTIF('League Results'!$D$5:$D$95,B13))</f>
        <v>1</v>
      </c>
      <c r="Q13" s="47"/>
      <c r="S13" s="48"/>
      <c r="W13" s="49"/>
    </row>
    <row r="14" spans="2:23" ht="16" thickBot="1" x14ac:dyDescent="0.4">
      <c r="B14" s="5" t="s">
        <v>98</v>
      </c>
      <c r="C14" s="1">
        <v>700</v>
      </c>
      <c r="D14" s="1"/>
      <c r="E14" s="1">
        <f t="shared" si="0"/>
        <v>700</v>
      </c>
      <c r="F14" s="1">
        <f t="array" ref="F14">COUNTIF($E$4:$E$87,"&gt;"&amp;E14)+1+SUMPRODUCT(--($E$4:$E$87=E14),--($D$4:$D$87&lt;D14))</f>
        <v>10</v>
      </c>
      <c r="G14" s="1" t="str">
        <f t="shared" si="1"/>
        <v>10th</v>
      </c>
      <c r="H14" s="6">
        <f>VLOOKUP(F14,League_Points!$A$2:$B$61,2)</f>
        <v>41</v>
      </c>
      <c r="J14" s="24">
        <f>IF(LEN(B14)-LEN(SUBSTITUTE(B14,"&amp;",""))&gt;0,CONCATENATE(COUNTIF('League Results'!$D$5:$D$95,MID(B14,1,FIND(" &amp; ",B14)-1)),"-",COUNTIF('League Results'!$D$5:$D$64,MID(B14,FIND(" &amp; ",B14)+3,LEN(B14)))),COUNTIF('League Results'!$D$5:$D$95,B14))</f>
        <v>1</v>
      </c>
      <c r="Q14" s="50"/>
      <c r="S14" s="48"/>
      <c r="W14" s="49"/>
    </row>
    <row r="15" spans="2:23" ht="16" thickBot="1" x14ac:dyDescent="0.4">
      <c r="B15" s="5" t="s">
        <v>80</v>
      </c>
      <c r="C15" s="1">
        <v>700</v>
      </c>
      <c r="D15" s="1"/>
      <c r="E15" s="1">
        <f t="shared" si="0"/>
        <v>700</v>
      </c>
      <c r="F15" s="1">
        <f t="array" ref="F15">COUNTIF($E$4:$E$87,"&gt;"&amp;E15)+1+SUMPRODUCT(--($E$4:$E$87=E15),--($D$4:$D$87&lt;D15))</f>
        <v>10</v>
      </c>
      <c r="G15" s="1" t="str">
        <f t="shared" si="1"/>
        <v>10th</v>
      </c>
      <c r="H15" s="6">
        <f>VLOOKUP(F15,League_Points!$A$2:$B$61,2)</f>
        <v>41</v>
      </c>
      <c r="J15" s="24">
        <f>IF(LEN(B15)-LEN(SUBSTITUTE(B15,"&amp;",""))&gt;0,CONCATENATE(COUNTIF('League Results'!$D$5:$D$95,MID(B15,1,FIND(" &amp; ",B15)-1)),"-",COUNTIF('League Results'!$D$5:$D$64,MID(B15,FIND(" &amp; ",B15)+3,LEN(B15)))),COUNTIF('League Results'!$D$5:$D$95,B15))</f>
        <v>1</v>
      </c>
      <c r="Q15" s="47"/>
      <c r="S15" s="48"/>
      <c r="W15" s="49"/>
    </row>
    <row r="16" spans="2:23" ht="16" thickBot="1" x14ac:dyDescent="0.4">
      <c r="B16" s="5" t="s">
        <v>99</v>
      </c>
      <c r="C16" s="1">
        <v>690</v>
      </c>
      <c r="D16" s="1"/>
      <c r="E16" s="1">
        <f t="shared" si="0"/>
        <v>690</v>
      </c>
      <c r="F16" s="1">
        <f t="array" ref="F16">COUNTIF($E$4:$E$87,"&gt;"&amp;E16)+1+SUMPRODUCT(--($E$4:$E$87=E16),--($D$4:$D$87&lt;D16))</f>
        <v>13</v>
      </c>
      <c r="G16" s="1" t="str">
        <f t="shared" si="1"/>
        <v>13th</v>
      </c>
      <c r="H16" s="6">
        <f>VLOOKUP(F16,League_Points!$A$2:$B$61,2)</f>
        <v>38</v>
      </c>
      <c r="J16" s="24">
        <f>IF(LEN(B16)-LEN(SUBSTITUTE(B16,"&amp;",""))&gt;0,CONCATENATE(COUNTIF('League Results'!$D$5:$D$95,MID(B16,1,FIND(" &amp; ",B16)-1)),"-",COUNTIF('League Results'!$D$5:$D$64,MID(B16,FIND(" &amp; ",B16)+3,LEN(B16)))),COUNTIF('League Results'!$D$5:$D$95,B16))</f>
        <v>1</v>
      </c>
      <c r="Q16" s="47"/>
      <c r="S16" s="48"/>
      <c r="W16" s="49"/>
    </row>
    <row r="17" spans="2:24" ht="16" thickBot="1" x14ac:dyDescent="0.4">
      <c r="B17" s="5" t="s">
        <v>60</v>
      </c>
      <c r="C17" s="57">
        <v>720</v>
      </c>
      <c r="D17" s="1">
        <v>30</v>
      </c>
      <c r="E17" s="1">
        <f t="shared" si="0"/>
        <v>690</v>
      </c>
      <c r="F17" s="1">
        <f t="array" ref="F17">COUNTIF($E$4:$E$87,"&gt;"&amp;E17)+1+SUMPRODUCT(--($E$4:$E$87=E17),--($D$4:$D$87&lt;D17))</f>
        <v>14</v>
      </c>
      <c r="G17" s="1" t="str">
        <f t="shared" si="1"/>
        <v>14th</v>
      </c>
      <c r="H17" s="6">
        <f>VLOOKUP(F17,League_Points!$A$2:$B$61,2)</f>
        <v>37</v>
      </c>
      <c r="J17" s="24">
        <f>IF(LEN(B17)-LEN(SUBSTITUTE(B17,"&amp;",""))&gt;0,CONCATENATE(COUNTIF('League Results'!$D$5:$D$95,MID(B17,1,FIND(" &amp; ",B17)-1)),"-",COUNTIF('League Results'!$D$5:$D$64,MID(B17,FIND(" &amp; ",B17)+3,LEN(B17)))),COUNTIF('League Results'!$D$5:$D$95,B17))</f>
        <v>1</v>
      </c>
      <c r="Q17" s="50"/>
      <c r="S17" s="48"/>
      <c r="W17" s="49"/>
    </row>
    <row r="18" spans="2:24" ht="16" thickBot="1" x14ac:dyDescent="0.4">
      <c r="B18" s="5" t="s">
        <v>89</v>
      </c>
      <c r="C18" s="20">
        <v>670</v>
      </c>
      <c r="D18" s="1"/>
      <c r="E18" s="1">
        <f t="shared" si="0"/>
        <v>670</v>
      </c>
      <c r="F18" s="1">
        <f t="array" ref="F18">COUNTIF($E$4:$E$87,"&gt;"&amp;E18)+1+SUMPRODUCT(--($E$4:$E$87=E18),--($D$4:$D$87&lt;D18))</f>
        <v>15</v>
      </c>
      <c r="G18" s="1" t="str">
        <f t="shared" si="1"/>
        <v>15th</v>
      </c>
      <c r="H18" s="6">
        <f>VLOOKUP(F18,League_Points!$A$2:$B$61,2)</f>
        <v>36</v>
      </c>
      <c r="J18" s="24">
        <f>IF(LEN(B18)-LEN(SUBSTITUTE(B18,"&amp;",""))&gt;0,CONCATENATE(COUNTIF('League Results'!$D$5:$D$95,MID(B18,1,FIND(" &amp; ",B18)-1)),"-",COUNTIF('League Results'!$D$5:$D$64,MID(B18,FIND(" &amp; ",B18)+3,LEN(B18)))),COUNTIF('League Results'!$D$5:$D$95,B18))</f>
        <v>1</v>
      </c>
      <c r="Q18" s="47"/>
      <c r="S18" s="48"/>
      <c r="W18" s="49"/>
    </row>
    <row r="19" spans="2:24" ht="16" thickBot="1" x14ac:dyDescent="0.4">
      <c r="B19" s="5" t="s">
        <v>100</v>
      </c>
      <c r="C19" s="20">
        <v>680</v>
      </c>
      <c r="D19" s="1">
        <v>30</v>
      </c>
      <c r="E19" s="1">
        <f t="shared" si="0"/>
        <v>650</v>
      </c>
      <c r="F19" s="1">
        <f t="array" ref="F19">COUNTIF($E$4:$E$87,"&gt;"&amp;E19)+1+SUMPRODUCT(--($E$4:$E$87=E19),--($D$4:$D$87&lt;D19))</f>
        <v>16</v>
      </c>
      <c r="G19" s="1" t="str">
        <f t="shared" si="1"/>
        <v>16th</v>
      </c>
      <c r="H19" s="6">
        <f>VLOOKUP(F19,League_Points!$A$2:$B$61,2)</f>
        <v>35</v>
      </c>
      <c r="J19" s="24">
        <f>IF(LEN(B19)-LEN(SUBSTITUTE(B19,"&amp;",""))&gt;0,CONCATENATE(COUNTIF('League Results'!$D$5:$D$95,MID(B19,1,FIND(" &amp; ",B19)-1)),"-",COUNTIF('League Results'!$D$5:$D$64,MID(B19,FIND(" &amp; ",B19)+3,LEN(B19)))),COUNTIF('League Results'!$D$5:$D$95,B19))</f>
        <v>1</v>
      </c>
      <c r="Q19" s="50"/>
      <c r="S19" s="48"/>
      <c r="W19" s="49"/>
    </row>
    <row r="20" spans="2:24" ht="16" thickBot="1" x14ac:dyDescent="0.4">
      <c r="B20" s="5" t="s">
        <v>101</v>
      </c>
      <c r="C20" s="20">
        <v>680</v>
      </c>
      <c r="D20" s="1">
        <v>30</v>
      </c>
      <c r="E20" s="1">
        <f t="shared" si="0"/>
        <v>650</v>
      </c>
      <c r="F20" s="1">
        <f t="array" ref="F20">COUNTIF($E$4:$E$87,"&gt;"&amp;E20)+1+SUMPRODUCT(--($E$4:$E$87=E20),--($D$4:$D$87&lt;D20))</f>
        <v>16</v>
      </c>
      <c r="G20" s="1" t="str">
        <f t="shared" si="1"/>
        <v>16th</v>
      </c>
      <c r="H20" s="6">
        <f>VLOOKUP(F20,League_Points!$A$2:$B$61,2)</f>
        <v>35</v>
      </c>
      <c r="J20" s="24">
        <f>IF(LEN(B20)-LEN(SUBSTITUTE(B20,"&amp;",""))&gt;0,CONCATENATE(COUNTIF('League Results'!$D$5:$D$95,MID(B20,1,FIND(" &amp; ",B20)-1)),"-",COUNTIF('League Results'!$D$5:$D$64,MID(B20,FIND(" &amp; ",B20)+3,LEN(B20)))),COUNTIF('League Results'!$D$5:$D$95,B20))</f>
        <v>1</v>
      </c>
      <c r="Q20" s="47"/>
      <c r="S20" s="48"/>
      <c r="W20" s="49"/>
    </row>
    <row r="21" spans="2:24" ht="16" thickBot="1" x14ac:dyDescent="0.4">
      <c r="B21" s="5" t="s">
        <v>102</v>
      </c>
      <c r="C21" s="20">
        <v>640</v>
      </c>
      <c r="D21" s="1"/>
      <c r="E21" s="1">
        <f t="shared" si="0"/>
        <v>640</v>
      </c>
      <c r="F21" s="1">
        <f t="array" ref="F21">COUNTIF($E$4:$E$87,"&gt;"&amp;E21)+1+SUMPRODUCT(--($E$4:$E$87=E21),--($D$4:$D$87&lt;D21))</f>
        <v>18</v>
      </c>
      <c r="G21" s="1" t="str">
        <f t="shared" si="1"/>
        <v>18th</v>
      </c>
      <c r="H21" s="6">
        <f>VLOOKUP(F21,League_Points!$A$2:$B$61,2)</f>
        <v>33</v>
      </c>
      <c r="J21" s="24">
        <f>IF(LEN(B21)-LEN(SUBSTITUTE(B21,"&amp;",""))&gt;0,CONCATENATE(COUNTIF('League Results'!$D$5:$D$95,MID(B21,1,FIND(" &amp; ",B21)-1)),"-",COUNTIF('League Results'!$D$5:$D$64,MID(B21,FIND(" &amp; ",B21)+3,LEN(B21)))),COUNTIF('League Results'!$D$5:$D$95,B21))</f>
        <v>1</v>
      </c>
      <c r="Q21" s="50"/>
      <c r="S21" s="48"/>
      <c r="W21" s="49"/>
    </row>
    <row r="22" spans="2:24" ht="16" thickBot="1" x14ac:dyDescent="0.4">
      <c r="B22" s="5" t="s">
        <v>12</v>
      </c>
      <c r="C22" s="20">
        <v>630</v>
      </c>
      <c r="D22" s="1"/>
      <c r="E22" s="1">
        <f t="shared" si="0"/>
        <v>630</v>
      </c>
      <c r="F22" s="1">
        <f t="array" ref="F22">COUNTIF($E$4:$E$87,"&gt;"&amp;E22)+1+SUMPRODUCT(--($E$4:$E$87=E22),--($D$4:$D$87&lt;D22))</f>
        <v>19</v>
      </c>
      <c r="G22" s="1" t="str">
        <f t="shared" si="1"/>
        <v>19th</v>
      </c>
      <c r="H22" s="6">
        <f>VLOOKUP(F22,League_Points!$A$2:$B$61,2)</f>
        <v>32</v>
      </c>
      <c r="J22" s="24">
        <f>IF(LEN(B22)-LEN(SUBSTITUTE(B22,"&amp;",""))&gt;0,CONCATENATE(COUNTIF('League Results'!$D$5:$D$95,MID(B22,1,FIND(" &amp; ",B22)-1)),"-",COUNTIF('League Results'!$D$5:$D$64,MID(B22,FIND(" &amp; ",B22)+3,LEN(B22)))),COUNTIF('League Results'!$D$5:$D$95,B22))</f>
        <v>1</v>
      </c>
      <c r="Q22" s="47"/>
      <c r="S22" s="48"/>
      <c r="W22" s="49"/>
    </row>
    <row r="23" spans="2:24" ht="16" thickBot="1" x14ac:dyDescent="0.4">
      <c r="B23" s="5" t="s">
        <v>103</v>
      </c>
      <c r="C23" s="20">
        <v>630</v>
      </c>
      <c r="D23" s="1"/>
      <c r="E23" s="1">
        <f t="shared" si="0"/>
        <v>630</v>
      </c>
      <c r="F23" s="1">
        <f t="array" ref="F23">COUNTIF($E$4:$E$87,"&gt;"&amp;E23)+1+SUMPRODUCT(--($E$4:$E$87=E23),--($D$4:$D$87&lt;D23))</f>
        <v>19</v>
      </c>
      <c r="G23" s="1" t="str">
        <f t="shared" si="1"/>
        <v>19th</v>
      </c>
      <c r="H23" s="6">
        <f>VLOOKUP(F23,League_Points!$A$2:$B$61,2)</f>
        <v>32</v>
      </c>
      <c r="J23" s="24">
        <f>IF(LEN(B23)-LEN(SUBSTITUTE(B23,"&amp;",""))&gt;0,CONCATENATE(COUNTIF('League Results'!$D$5:$D$95,MID(B23,1,FIND(" &amp; ",B23)-1)),"-",COUNTIF('League Results'!$D$5:$D$64,MID(B23,FIND(" &amp; ",B23)+3,LEN(B23)))),COUNTIF('League Results'!$D$5:$D$95,B23))</f>
        <v>1</v>
      </c>
      <c r="Q23" s="47"/>
      <c r="S23" s="48"/>
      <c r="W23" s="49"/>
    </row>
    <row r="24" spans="2:24" ht="16" thickBot="1" x14ac:dyDescent="0.4">
      <c r="B24" s="5" t="s">
        <v>104</v>
      </c>
      <c r="C24" s="20">
        <v>620</v>
      </c>
      <c r="D24" s="1"/>
      <c r="E24" s="1">
        <f t="shared" si="0"/>
        <v>620</v>
      </c>
      <c r="F24" s="1">
        <f t="array" ref="F24">COUNTIF($E$4:$E$87,"&gt;"&amp;E24)+1+SUMPRODUCT(--($E$4:$E$87=E24),--($D$4:$D$87&lt;D24))</f>
        <v>21</v>
      </c>
      <c r="G24" s="1" t="str">
        <f t="shared" si="1"/>
        <v>21st</v>
      </c>
      <c r="H24" s="6">
        <f>VLOOKUP(F24,League_Points!$A$2:$B$61,2)</f>
        <v>30</v>
      </c>
      <c r="J24" s="24">
        <f>IF(LEN(B24)-LEN(SUBSTITUTE(B24,"&amp;",""))&gt;0,CONCATENATE(COUNTIF('League Results'!$D$5:$D$95,MID(B24,1,FIND(" &amp; ",B24)-1)),"-",COUNTIF('League Results'!$D$5:$D$64,MID(B24,FIND(" &amp; ",B24)+3,LEN(B24)))),COUNTIF('League Results'!$D$5:$D$95,B24))</f>
        <v>1</v>
      </c>
      <c r="Q24" s="50"/>
      <c r="S24" s="48"/>
      <c r="W24" s="49"/>
    </row>
    <row r="25" spans="2:24" ht="16" thickBot="1" x14ac:dyDescent="0.4">
      <c r="B25" s="5" t="s">
        <v>105</v>
      </c>
      <c r="C25" s="20">
        <v>610</v>
      </c>
      <c r="D25" s="1"/>
      <c r="E25" s="1">
        <f t="shared" si="0"/>
        <v>610</v>
      </c>
      <c r="F25" s="1">
        <f t="array" ref="F25">COUNTIF($E$4:$E$87,"&gt;"&amp;E25)+1+SUMPRODUCT(--($E$4:$E$87=E25),--($D$4:$D$87&lt;D25))</f>
        <v>22</v>
      </c>
      <c r="G25" s="1" t="str">
        <f t="shared" si="1"/>
        <v>22nd</v>
      </c>
      <c r="H25" s="6">
        <f>VLOOKUP(F25,League_Points!$A$2:$B$61,2)</f>
        <v>29</v>
      </c>
      <c r="J25" s="24">
        <f>IF(LEN(B25)-LEN(SUBSTITUTE(B25,"&amp;",""))&gt;0,CONCATENATE(COUNTIF('League Results'!$D$5:$D$95,MID(B25,1,FIND(" &amp; ",B25)-1)),"-",COUNTIF('League Results'!$D$5:$D$64,MID(B25,FIND(" &amp; ",B25)+3,LEN(B25)))),COUNTIF('League Results'!$D$5:$D$95,B25))</f>
        <v>1</v>
      </c>
      <c r="Q25" s="50"/>
      <c r="S25" s="48"/>
      <c r="W25" s="49"/>
    </row>
    <row r="26" spans="2:24" ht="16" thickBot="1" x14ac:dyDescent="0.4">
      <c r="B26" s="5" t="s">
        <v>106</v>
      </c>
      <c r="C26" s="20">
        <v>580</v>
      </c>
      <c r="D26" s="1"/>
      <c r="E26" s="1">
        <f t="shared" si="0"/>
        <v>580</v>
      </c>
      <c r="F26" s="1">
        <f t="array" ref="F26">COUNTIF($E$4:$E$87,"&gt;"&amp;E26)+1+SUMPRODUCT(--($E$4:$E$87=E26),--($D$4:$D$87&lt;D26))</f>
        <v>23</v>
      </c>
      <c r="G26" s="1" t="str">
        <f t="shared" si="1"/>
        <v>23rd</v>
      </c>
      <c r="H26" s="6">
        <f>VLOOKUP(F26,League_Points!$A$2:$B$61,2)</f>
        <v>28</v>
      </c>
      <c r="J26" s="24">
        <f>IF(LEN(B26)-LEN(SUBSTITUTE(B26,"&amp;",""))&gt;0,CONCATENATE(COUNTIF('League Results'!$D$5:$D$95,MID(B26,1,FIND(" &amp; ",B26)-1)),"-",COUNTIF('League Results'!$D$5:$D$64,MID(B26,FIND(" &amp; ",B26)+3,LEN(B26)))),COUNTIF('League Results'!$D$5:$D$95,B26))</f>
        <v>1</v>
      </c>
      <c r="Q26" s="50"/>
      <c r="S26" s="48"/>
      <c r="W26" s="49"/>
    </row>
    <row r="27" spans="2:24" ht="16" thickBot="1" x14ac:dyDescent="0.4">
      <c r="B27" s="5" t="s">
        <v>29</v>
      </c>
      <c r="C27" s="20">
        <v>560</v>
      </c>
      <c r="D27" s="1"/>
      <c r="E27" s="1">
        <f t="shared" si="0"/>
        <v>560</v>
      </c>
      <c r="F27" s="1">
        <f t="array" ref="F27">COUNTIF($E$4:$E$87,"&gt;"&amp;E27)+1+SUMPRODUCT(--($E$4:$E$87=E27),--($D$4:$D$87&lt;D27))</f>
        <v>24</v>
      </c>
      <c r="G27" s="1" t="str">
        <f t="shared" si="1"/>
        <v>24th</v>
      </c>
      <c r="H27" s="6">
        <f>VLOOKUP(F27,League_Points!$A$2:$B$61,2)</f>
        <v>27</v>
      </c>
      <c r="J27" s="24">
        <f>IF(LEN(B27)-LEN(SUBSTITUTE(B27,"&amp;",""))&gt;0,CONCATENATE(COUNTIF('League Results'!$D$5:$D$95,MID(B27,1,FIND(" &amp; ",B27)-1)),"-",COUNTIF('League Results'!$D$5:$D$64,MID(B27,FIND(" &amp; ",B27)+3,LEN(B27)))),COUNTIF('League Results'!$D$5:$D$95,B27))</f>
        <v>1</v>
      </c>
      <c r="R27" s="47"/>
      <c r="T27" s="48"/>
      <c r="X27" s="49"/>
    </row>
    <row r="28" spans="2:24" ht="16" thickBot="1" x14ac:dyDescent="0.4">
      <c r="B28" s="5" t="s">
        <v>17</v>
      </c>
      <c r="C28" s="20">
        <v>560</v>
      </c>
      <c r="D28" s="1"/>
      <c r="E28" s="1">
        <f t="shared" si="0"/>
        <v>560</v>
      </c>
      <c r="F28" s="1">
        <f t="array" ref="F28">COUNTIF($E$4:$E$87,"&gt;"&amp;E28)+1+SUMPRODUCT(--($E$4:$E$87=E28),--($D$4:$D$87&lt;D28))</f>
        <v>24</v>
      </c>
      <c r="G28" s="1" t="str">
        <f t="shared" si="1"/>
        <v>24th</v>
      </c>
      <c r="H28" s="6">
        <f>VLOOKUP(F28,League_Points!$A$2:$B$61,2)</f>
        <v>27</v>
      </c>
      <c r="J28" s="24">
        <f>IF(LEN(B28)-LEN(SUBSTITUTE(B28,"&amp;",""))&gt;0,CONCATENATE(COUNTIF('League Results'!$D$5:$D$95,MID(B28,1,FIND(" &amp; ",B28)-1)),"-",COUNTIF('League Results'!$D$5:$D$64,MID(B28,FIND(" &amp; ",B28)+3,LEN(B28)))),COUNTIF('League Results'!$D$5:$D$95,B28))</f>
        <v>1</v>
      </c>
      <c r="R28" s="47"/>
      <c r="T28" s="48"/>
      <c r="X28" s="49"/>
    </row>
    <row r="29" spans="2:24" ht="16" thickBot="1" x14ac:dyDescent="0.4">
      <c r="B29" s="5" t="s">
        <v>65</v>
      </c>
      <c r="C29" s="20">
        <v>590</v>
      </c>
      <c r="D29" s="1">
        <v>30</v>
      </c>
      <c r="E29" s="1">
        <f t="shared" si="0"/>
        <v>560</v>
      </c>
      <c r="F29" s="1">
        <f t="array" ref="F29">COUNTIF($E$4:$E$87,"&gt;"&amp;E29)+1+SUMPRODUCT(--($E$4:$E$87=E29),--($D$4:$D$87&lt;D29))</f>
        <v>26</v>
      </c>
      <c r="G29" s="1" t="str">
        <f t="shared" si="1"/>
        <v>26th</v>
      </c>
      <c r="H29" s="6">
        <f>VLOOKUP(F29,League_Points!$A$2:$B$61,2)</f>
        <v>25</v>
      </c>
      <c r="J29" s="24">
        <f>IF(LEN(B29)-LEN(SUBSTITUTE(B29,"&amp;",""))&gt;0,CONCATENATE(COUNTIF('League Results'!$D$5:$D$95,MID(B29,1,FIND(" &amp; ",B29)-1)),"-",COUNTIF('League Results'!$D$5:$D$64,MID(B29,FIND(" &amp; ",B29)+3,LEN(B29)))),COUNTIF('League Results'!$D$5:$D$95,B29))</f>
        <v>1</v>
      </c>
      <c r="R29" s="47"/>
      <c r="T29" s="48"/>
      <c r="X29" s="49"/>
    </row>
    <row r="30" spans="2:24" ht="16" thickBot="1" x14ac:dyDescent="0.4">
      <c r="B30" s="5" t="s">
        <v>18</v>
      </c>
      <c r="C30" s="20">
        <v>670</v>
      </c>
      <c r="D30" s="1">
        <v>120</v>
      </c>
      <c r="E30" s="1">
        <f t="shared" si="0"/>
        <v>550</v>
      </c>
      <c r="F30" s="1">
        <f t="array" ref="F30">COUNTIF($E$4:$E$87,"&gt;"&amp;E30)+1+SUMPRODUCT(--($E$4:$E$87=E30),--($D$4:$D$87&lt;D30))</f>
        <v>27</v>
      </c>
      <c r="G30" s="1" t="str">
        <f t="shared" si="1"/>
        <v>27th</v>
      </c>
      <c r="H30" s="6">
        <f>VLOOKUP(F30,League_Points!$A$2:$B$61,2)</f>
        <v>24</v>
      </c>
      <c r="J30" s="24">
        <f>IF(LEN(B30)-LEN(SUBSTITUTE(B30,"&amp;",""))&gt;0,CONCATENATE(COUNTIF('League Results'!$D$5:$D$95,MID(B30,1,FIND(" &amp; ",B30)-1)),"-",COUNTIF('League Results'!$D$5:$D$64,MID(B30,FIND(" &amp; ",B30)+3,LEN(B30)))),COUNTIF('League Results'!$D$5:$D$95,B30))</f>
        <v>1</v>
      </c>
      <c r="R30" s="47"/>
      <c r="T30" s="48"/>
      <c r="X30" s="49"/>
    </row>
    <row r="31" spans="2:24" ht="16" thickBot="1" x14ac:dyDescent="0.4">
      <c r="B31" s="5" t="s">
        <v>107</v>
      </c>
      <c r="C31" s="20">
        <v>530</v>
      </c>
      <c r="D31" s="1"/>
      <c r="E31" s="1">
        <f t="shared" si="0"/>
        <v>530</v>
      </c>
      <c r="F31" s="1">
        <f t="array" ref="F31">COUNTIF($E$4:$E$87,"&gt;"&amp;E31)+1+SUMPRODUCT(--($E$4:$E$87=E31),--($D$4:$D$87&lt;D31))</f>
        <v>28</v>
      </c>
      <c r="G31" s="1" t="str">
        <f t="shared" si="1"/>
        <v>28th</v>
      </c>
      <c r="H31" s="6">
        <f>VLOOKUP(F31,League_Points!$A$2:$B$61,2)</f>
        <v>23</v>
      </c>
      <c r="J31" s="24">
        <f>IF(LEN(B31)-LEN(SUBSTITUTE(B31,"&amp;",""))&gt;0,CONCATENATE(COUNTIF('League Results'!$D$5:$D$95,MID(B31,1,FIND(" &amp; ",B31)-1)),"-",COUNTIF('League Results'!$D$5:$D$64,MID(B31,FIND(" &amp; ",B31)+3,LEN(B31)))),COUNTIF('League Results'!$D$5:$D$95,B31))</f>
        <v>1</v>
      </c>
      <c r="R31" s="47"/>
      <c r="T31" s="48"/>
      <c r="X31" s="49"/>
    </row>
    <row r="32" spans="2:24" ht="16" thickBot="1" x14ac:dyDescent="0.4">
      <c r="B32" s="5" t="s">
        <v>28</v>
      </c>
      <c r="C32" s="20">
        <v>510</v>
      </c>
      <c r="D32" s="1"/>
      <c r="E32" s="1">
        <f t="shared" si="0"/>
        <v>510</v>
      </c>
      <c r="F32" s="1">
        <f t="array" ref="F32">COUNTIF($E$4:$E$87,"&gt;"&amp;E32)+1+SUMPRODUCT(--($E$4:$E$87=E32),--($D$4:$D$87&lt;D32))</f>
        <v>29</v>
      </c>
      <c r="G32" s="1" t="str">
        <f t="shared" si="1"/>
        <v>29th</v>
      </c>
      <c r="H32" s="6">
        <f>VLOOKUP(F32,League_Points!$A$2:$B$61,2)</f>
        <v>22</v>
      </c>
      <c r="J32" s="24">
        <f>IF(LEN(B32)-LEN(SUBSTITUTE(B32,"&amp;",""))&gt;0,CONCATENATE(COUNTIF('League Results'!$D$5:$D$95,MID(B32,1,FIND(" &amp; ",B32)-1)),"-",COUNTIF('League Results'!$D$5:$D$64,MID(B32,FIND(" &amp; ",B32)+3,LEN(B32)))),COUNTIF('League Results'!$D$5:$D$95,B32))</f>
        <v>1</v>
      </c>
      <c r="R32" s="50"/>
      <c r="T32" s="48"/>
      <c r="X32" s="49"/>
    </row>
    <row r="33" spans="2:24" ht="16" thickBot="1" x14ac:dyDescent="0.4">
      <c r="B33" s="5" t="s">
        <v>67</v>
      </c>
      <c r="C33" s="51">
        <v>500</v>
      </c>
      <c r="D33" s="1"/>
      <c r="E33" s="1">
        <f t="shared" si="0"/>
        <v>500</v>
      </c>
      <c r="F33" s="1">
        <f t="array" ref="F33">COUNTIF($E$4:$E$87,"&gt;"&amp;E33)+1+SUMPRODUCT(--($E$4:$E$87=E33),--($D$4:$D$87&lt;D33))</f>
        <v>30</v>
      </c>
      <c r="G33" s="1" t="str">
        <f t="shared" si="1"/>
        <v>30th</v>
      </c>
      <c r="H33" s="6">
        <f>VLOOKUP(F33,League_Points!$A$2:$B$61,2)</f>
        <v>21</v>
      </c>
      <c r="J33" s="24">
        <f>IF(LEN(B33)-LEN(SUBSTITUTE(B33,"&amp;",""))&gt;0,CONCATENATE(COUNTIF('League Results'!$D$5:$D$95,MID(B33,1,FIND(" &amp; ",B33)-1)),"-",COUNTIF('League Results'!$D$5:$D$64,MID(B33,FIND(" &amp; ",B33)+3,LEN(B33)))),COUNTIF('League Results'!$D$5:$D$95,B33))</f>
        <v>1</v>
      </c>
      <c r="R33" s="47"/>
      <c r="T33" s="48"/>
      <c r="X33" s="49"/>
    </row>
    <row r="34" spans="2:24" ht="16" thickBot="1" x14ac:dyDescent="0.4">
      <c r="B34" s="5" t="s">
        <v>64</v>
      </c>
      <c r="C34" s="20">
        <v>560</v>
      </c>
      <c r="D34" s="1">
        <v>60</v>
      </c>
      <c r="E34" s="1">
        <f t="shared" si="0"/>
        <v>500</v>
      </c>
      <c r="F34" s="1">
        <f t="array" ref="F34">COUNTIF($E$4:$E$87,"&gt;"&amp;E34)+1+SUMPRODUCT(--($E$4:$E$87=E34),--($D$4:$D$87&lt;D34))</f>
        <v>31</v>
      </c>
      <c r="G34" s="1" t="str">
        <f t="shared" si="1"/>
        <v>31st</v>
      </c>
      <c r="H34" s="6">
        <f>VLOOKUP(F34,League_Points!$A$2:$B$61,2)</f>
        <v>20</v>
      </c>
      <c r="J34" s="24">
        <f>IF(LEN(B34)-LEN(SUBSTITUTE(B34,"&amp;",""))&gt;0,CONCATENATE(COUNTIF('League Results'!$D$5:$D$95,MID(B34,1,FIND(" &amp; ",B34)-1)),"-",COUNTIF('League Results'!$D$5:$D$64,MID(B34,FIND(" &amp; ",B34)+3,LEN(B34)))),COUNTIF('League Results'!$D$5:$D$95,B34))</f>
        <v>1</v>
      </c>
      <c r="R34" s="47"/>
      <c r="T34" s="48"/>
      <c r="X34" s="49"/>
    </row>
    <row r="35" spans="2:24" ht="16" thickBot="1" x14ac:dyDescent="0.4">
      <c r="B35" s="5" t="s">
        <v>73</v>
      </c>
      <c r="C35" s="20">
        <v>490</v>
      </c>
      <c r="D35" s="1"/>
      <c r="E35" s="1">
        <f t="shared" si="0"/>
        <v>490</v>
      </c>
      <c r="F35" s="1">
        <f t="array" ref="F35">COUNTIF($E$4:$E$87,"&gt;"&amp;E35)+1+SUMPRODUCT(--($E$4:$E$87=E35),--($D$4:$D$87&lt;D35))</f>
        <v>32</v>
      </c>
      <c r="G35" s="1" t="str">
        <f t="shared" si="1"/>
        <v>32nd</v>
      </c>
      <c r="H35" s="6">
        <f>VLOOKUP(F35,League_Points!$A$2:$B$61,2)</f>
        <v>19</v>
      </c>
      <c r="J35" s="24">
        <f>IF(LEN(B35)-LEN(SUBSTITUTE(B35,"&amp;",""))&gt;0,CONCATENATE(COUNTIF('League Results'!$D$5:$D$95,MID(B35,1,FIND(" &amp; ",B35)-1)),"-",COUNTIF('League Results'!$D$5:$D$64,MID(B35,FIND(" &amp; ",B35)+3,LEN(B35)))),COUNTIF('League Results'!$D$5:$D$95,B35))</f>
        <v>1</v>
      </c>
      <c r="R35" s="47"/>
      <c r="T35" s="48"/>
      <c r="X35" s="49"/>
    </row>
    <row r="36" spans="2:24" ht="16" thickBot="1" x14ac:dyDescent="0.4">
      <c r="B36" s="5" t="s">
        <v>116</v>
      </c>
      <c r="C36" s="51">
        <v>490</v>
      </c>
      <c r="D36" s="1"/>
      <c r="E36" s="1">
        <f t="shared" si="0"/>
        <v>490</v>
      </c>
      <c r="F36" s="1">
        <f t="array" ref="F36">COUNTIF($E$4:$E$87,"&gt;"&amp;E36)+1+SUMPRODUCT(--($E$4:$E$87=E36),--($D$4:$D$87&lt;D36))</f>
        <v>32</v>
      </c>
      <c r="G36" s="1" t="str">
        <f t="shared" si="1"/>
        <v>32nd</v>
      </c>
      <c r="H36" s="6">
        <f>VLOOKUP(F36,League_Points!$A$2:$B$61,2)</f>
        <v>19</v>
      </c>
      <c r="J36" s="24">
        <f>IF(LEN(B36)-LEN(SUBSTITUTE(B36,"&amp;",""))&gt;0,CONCATENATE(COUNTIF('League Results'!$D$5:$D$95,MID(B36,1,FIND(" &amp; ",B36)-1)),"-",COUNTIF('League Results'!$D$5:$D$64,MID(B36,FIND(" &amp; ",B36)+3,LEN(B36)))),COUNTIF('League Results'!$D$5:$D$95,B36))</f>
        <v>1</v>
      </c>
      <c r="R36" s="47"/>
      <c r="T36" s="48"/>
      <c r="X36" s="49"/>
    </row>
    <row r="37" spans="2:24" ht="16" thickBot="1" x14ac:dyDescent="0.4">
      <c r="B37" s="5" t="s">
        <v>108</v>
      </c>
      <c r="C37" s="51">
        <v>470</v>
      </c>
      <c r="D37" s="1"/>
      <c r="E37" s="1">
        <f t="shared" si="0"/>
        <v>470</v>
      </c>
      <c r="F37" s="1">
        <f t="array" ref="F37">COUNTIF($E$4:$E$87,"&gt;"&amp;E37)+1+SUMPRODUCT(--($E$4:$E$87=E37),--($D$4:$D$87&lt;D37))</f>
        <v>34</v>
      </c>
      <c r="G37" s="1" t="str">
        <f t="shared" si="1"/>
        <v>34th</v>
      </c>
      <c r="H37" s="6">
        <f>VLOOKUP(F37,League_Points!$A$2:$B$61,2)</f>
        <v>17</v>
      </c>
      <c r="J37" s="24">
        <f>IF(LEN(B37)-LEN(SUBSTITUTE(B37,"&amp;",""))&gt;0,CONCATENATE(COUNTIF('League Results'!$D$5:$D$95,MID(B37,1,FIND(" &amp; ",B37)-1)),"-",COUNTIF('League Results'!$D$5:$D$64,MID(B37,FIND(" &amp; ",B37)+3,LEN(B37)))),COUNTIF('League Results'!$D$5:$D$95,B37))</f>
        <v>1</v>
      </c>
      <c r="R37" s="47"/>
      <c r="T37" s="48"/>
      <c r="X37" s="49"/>
    </row>
    <row r="38" spans="2:24" ht="16" thickBot="1" x14ac:dyDescent="0.4">
      <c r="B38" s="5" t="s">
        <v>30</v>
      </c>
      <c r="C38" s="51">
        <v>450</v>
      </c>
      <c r="D38" s="1"/>
      <c r="E38" s="1">
        <f t="shared" si="0"/>
        <v>450</v>
      </c>
      <c r="F38" s="1">
        <f t="array" ref="F38">COUNTIF($E$4:$E$87,"&gt;"&amp;E38)+1+SUMPRODUCT(--($E$4:$E$87=E38),--($D$4:$D$87&lt;D38))</f>
        <v>35</v>
      </c>
      <c r="G38" s="1" t="str">
        <f t="shared" si="1"/>
        <v>35th</v>
      </c>
      <c r="H38" s="6">
        <f>VLOOKUP(F38,League_Points!$A$2:$B$61,2)</f>
        <v>16</v>
      </c>
      <c r="J38" s="24">
        <f>IF(LEN(B38)-LEN(SUBSTITUTE(B38,"&amp;",""))&gt;0,CONCATENATE(COUNTIF('League Results'!$D$5:$D$95,MID(B38,1,FIND(" &amp; ",B38)-1)),"-",COUNTIF('League Results'!$D$5:$D$64,MID(B38,FIND(" &amp; ",B38)+3,LEN(B38)))),COUNTIF('League Results'!$D$5:$D$95,B38))</f>
        <v>1</v>
      </c>
      <c r="R38" s="47"/>
      <c r="T38" s="48"/>
      <c r="X38" s="49"/>
    </row>
    <row r="39" spans="2:24" ht="16" thickBot="1" x14ac:dyDescent="0.4">
      <c r="B39" s="5" t="s">
        <v>109</v>
      </c>
      <c r="C39" s="51">
        <v>440</v>
      </c>
      <c r="D39" s="1"/>
      <c r="E39" s="1">
        <f t="shared" si="0"/>
        <v>440</v>
      </c>
      <c r="F39" s="1">
        <f t="array" ref="F39">COUNTIF($E$4:$E$87,"&gt;"&amp;E39)+1+SUMPRODUCT(--($E$4:$E$87=E39),--($D$4:$D$87&lt;D39))</f>
        <v>36</v>
      </c>
      <c r="G39" s="1" t="str">
        <f t="shared" si="1"/>
        <v>36th</v>
      </c>
      <c r="H39" s="6">
        <f>VLOOKUP(F39,League_Points!$A$2:$B$61,2)</f>
        <v>15</v>
      </c>
      <c r="J39" s="24">
        <f>IF(LEN(B39)-LEN(SUBSTITUTE(B39,"&amp;",""))&gt;0,CONCATENATE(COUNTIF('League Results'!$D$5:$D$95,MID(B39,1,FIND(" &amp; ",B39)-1)),"-",COUNTIF('League Results'!$D$5:$D$64,MID(B39,FIND(" &amp; ",B39)+3,LEN(B39)))),COUNTIF('League Results'!$D$5:$D$95,B39))</f>
        <v>1</v>
      </c>
      <c r="R39" s="47"/>
      <c r="T39" s="48"/>
      <c r="X39" s="49"/>
    </row>
    <row r="40" spans="2:24" ht="16" thickBot="1" x14ac:dyDescent="0.4">
      <c r="B40" s="5" t="s">
        <v>31</v>
      </c>
      <c r="C40" s="51">
        <v>430</v>
      </c>
      <c r="D40" s="1"/>
      <c r="E40" s="1">
        <f t="shared" si="0"/>
        <v>430</v>
      </c>
      <c r="F40" s="1">
        <f t="array" ref="F40">COUNTIF($E$4:$E$87,"&gt;"&amp;E40)+1+SUMPRODUCT(--($E$4:$E$87=E40),--($D$4:$D$87&lt;D40))</f>
        <v>37</v>
      </c>
      <c r="G40" s="1" t="str">
        <f t="shared" si="1"/>
        <v>37th</v>
      </c>
      <c r="H40" s="6">
        <f>VLOOKUP(F40,League_Points!$A$2:$B$61,2)</f>
        <v>14</v>
      </c>
      <c r="J40" s="24">
        <f>IF(LEN(B40)-LEN(SUBSTITUTE(B40,"&amp;",""))&gt;0,CONCATENATE(COUNTIF('League Results'!$D$5:$D$95,MID(B40,1,FIND(" &amp; ",B40)-1)),"-",COUNTIF('League Results'!$D$5:$D$64,MID(B40,FIND(" &amp; ",B40)+3,LEN(B40)))),COUNTIF('League Results'!$D$5:$D$95,B40))</f>
        <v>1</v>
      </c>
      <c r="R40" s="47"/>
      <c r="T40" s="48"/>
      <c r="X40" s="49"/>
    </row>
    <row r="41" spans="2:24" ht="16" thickBot="1" x14ac:dyDescent="0.4">
      <c r="B41" s="5" t="s">
        <v>16</v>
      </c>
      <c r="C41" s="51">
        <v>430</v>
      </c>
      <c r="D41" s="1"/>
      <c r="E41" s="1">
        <f t="shared" si="0"/>
        <v>430</v>
      </c>
      <c r="F41" s="1">
        <f t="array" ref="F41">COUNTIF($E$4:$E$87,"&gt;"&amp;E41)+1+SUMPRODUCT(--($E$4:$E$87=E41),--($D$4:$D$87&lt;D41))</f>
        <v>37</v>
      </c>
      <c r="G41" s="1" t="str">
        <f t="shared" si="1"/>
        <v>37th</v>
      </c>
      <c r="H41" s="6">
        <f>VLOOKUP(F41,League_Points!$A$2:$B$61,2)</f>
        <v>14</v>
      </c>
      <c r="J41" s="24">
        <f>IF(LEN(B41)-LEN(SUBSTITUTE(B41,"&amp;",""))&gt;0,CONCATENATE(COUNTIF('League Results'!$D$5:$D$95,MID(B41,1,FIND(" &amp; ",B41)-1)),"-",COUNTIF('League Results'!$D$5:$D$64,MID(B41,FIND(" &amp; ",B41)+3,LEN(B41)))),COUNTIF('League Results'!$D$5:$D$95,B41))</f>
        <v>1</v>
      </c>
      <c r="R41" s="47"/>
      <c r="T41" s="48"/>
      <c r="X41" s="49"/>
    </row>
    <row r="42" spans="2:24" ht="16" thickBot="1" x14ac:dyDescent="0.4">
      <c r="B42" s="5" t="s">
        <v>110</v>
      </c>
      <c r="C42" s="51">
        <v>410</v>
      </c>
      <c r="D42" s="1"/>
      <c r="E42" s="1">
        <f t="shared" si="0"/>
        <v>410</v>
      </c>
      <c r="F42" s="1">
        <f t="array" ref="F42">COUNTIF($E$4:$E$87,"&gt;"&amp;E42)+1+SUMPRODUCT(--($E$4:$E$87=E42),--($D$4:$D$87&lt;D42))</f>
        <v>39</v>
      </c>
      <c r="G42" s="1" t="str">
        <f t="shared" si="1"/>
        <v>39th</v>
      </c>
      <c r="H42" s="6">
        <f>VLOOKUP(F42,League_Points!$A$2:$B$61,2)</f>
        <v>12</v>
      </c>
      <c r="J42" s="24">
        <f>IF(LEN(B42)-LEN(SUBSTITUTE(B42,"&amp;",""))&gt;0,CONCATENATE(COUNTIF('League Results'!$D$5:$D$95,MID(B42,1,FIND(" &amp; ",B42)-1)),"-",COUNTIF('League Results'!$D$5:$D$64,MID(B42,FIND(" &amp; ",B42)+3,LEN(B42)))),COUNTIF('League Results'!$D$5:$D$95,B42))</f>
        <v>1</v>
      </c>
      <c r="R42" s="47"/>
      <c r="T42" s="48"/>
      <c r="X42" s="49"/>
    </row>
    <row r="43" spans="2:24" ht="16" thickBot="1" x14ac:dyDescent="0.4">
      <c r="B43" s="5" t="s">
        <v>20</v>
      </c>
      <c r="C43" s="51">
        <v>410</v>
      </c>
      <c r="D43" s="1"/>
      <c r="E43" s="1">
        <f t="shared" si="0"/>
        <v>410</v>
      </c>
      <c r="F43" s="1">
        <f t="array" ref="F43">COUNTIF($E$4:$E$87,"&gt;"&amp;E43)+1+SUMPRODUCT(--($E$4:$E$87=E43),--($D$4:$D$87&lt;D43))</f>
        <v>39</v>
      </c>
      <c r="G43" s="1" t="str">
        <f t="shared" si="1"/>
        <v>39th</v>
      </c>
      <c r="H43" s="6">
        <f>VLOOKUP(F43,League_Points!$A$2:$B$61,2)</f>
        <v>12</v>
      </c>
      <c r="J43" s="24">
        <f>IF(LEN(B43)-LEN(SUBSTITUTE(B43,"&amp;",""))&gt;0,CONCATENATE(COUNTIF('League Results'!$D$5:$D$95,MID(B43,1,FIND(" &amp; ",B43)-1)),"-",COUNTIF('League Results'!$D$5:$D$64,MID(B43,FIND(" &amp; ",B43)+3,LEN(B43)))),COUNTIF('League Results'!$D$5:$D$95,B43))</f>
        <v>1</v>
      </c>
      <c r="R43" s="47"/>
      <c r="T43" s="48"/>
      <c r="X43" s="49"/>
    </row>
    <row r="44" spans="2:24" ht="16" thickBot="1" x14ac:dyDescent="0.4">
      <c r="B44" s="5" t="s">
        <v>90</v>
      </c>
      <c r="C44" s="51">
        <v>370</v>
      </c>
      <c r="D44" s="1"/>
      <c r="E44" s="1">
        <f t="shared" si="0"/>
        <v>370</v>
      </c>
      <c r="F44" s="1">
        <f t="array" ref="F44">COUNTIF($E$4:$E$87,"&gt;"&amp;E44)+1+SUMPRODUCT(--($E$4:$E$87=E44),--($D$4:$D$87&lt;D44))</f>
        <v>41</v>
      </c>
      <c r="G44" s="1" t="str">
        <f t="shared" si="1"/>
        <v>41st</v>
      </c>
      <c r="H44" s="6">
        <f>VLOOKUP(F44,League_Points!$A$2:$B$61,2)</f>
        <v>10</v>
      </c>
      <c r="J44" s="24">
        <f>IF(LEN(B44)-LEN(SUBSTITUTE(B44,"&amp;",""))&gt;0,CONCATENATE(COUNTIF('League Results'!$D$5:$D$95,MID(B44,1,FIND(" &amp; ",B44)-1)),"-",COUNTIF('League Results'!$D$5:$D$64,MID(B44,FIND(" &amp; ",B44)+3,LEN(B44)))),COUNTIF('League Results'!$D$5:$D$95,B44))</f>
        <v>1</v>
      </c>
      <c r="R44" s="47"/>
      <c r="T44" s="48"/>
      <c r="X44" s="49"/>
    </row>
    <row r="45" spans="2:24" ht="16" thickBot="1" x14ac:dyDescent="0.4">
      <c r="B45" s="5" t="s">
        <v>111</v>
      </c>
      <c r="C45" s="51">
        <v>370</v>
      </c>
      <c r="D45" s="1"/>
      <c r="E45" s="1">
        <f t="shared" si="0"/>
        <v>370</v>
      </c>
      <c r="F45" s="1">
        <f t="array" ref="F45">COUNTIF($E$4:$E$87,"&gt;"&amp;E45)+1+SUMPRODUCT(--($E$4:$E$87=E45),--($D$4:$D$87&lt;D45))</f>
        <v>41</v>
      </c>
      <c r="G45" s="1" t="str">
        <f t="shared" si="1"/>
        <v>41st</v>
      </c>
      <c r="H45" s="6">
        <f>VLOOKUP(F45,League_Points!$A$2:$B$61,2)</f>
        <v>10</v>
      </c>
      <c r="J45" s="24">
        <f>IF(LEN(B45)-LEN(SUBSTITUTE(B45,"&amp;",""))&gt;0,CONCATENATE(COUNTIF('League Results'!$D$5:$D$95,MID(B45,1,FIND(" &amp; ",B45)-1)),"-",COUNTIF('League Results'!$D$5:$D$64,MID(B45,FIND(" &amp; ",B45)+3,LEN(B45)))),COUNTIF('League Results'!$D$5:$D$95,B45))</f>
        <v>1</v>
      </c>
      <c r="R45" s="47"/>
      <c r="T45" s="48"/>
      <c r="X45" s="49"/>
    </row>
    <row r="46" spans="2:24" ht="16" thickBot="1" x14ac:dyDescent="0.4">
      <c r="B46" s="5" t="s">
        <v>112</v>
      </c>
      <c r="C46" s="51">
        <v>350</v>
      </c>
      <c r="D46" s="1"/>
      <c r="E46" s="1">
        <f t="shared" si="0"/>
        <v>350</v>
      </c>
      <c r="F46" s="1">
        <f t="array" ref="F46">COUNTIF($E$4:$E$87,"&gt;"&amp;E46)+1+SUMPRODUCT(--($E$4:$E$87=E46),--($D$4:$D$87&lt;D46))</f>
        <v>43</v>
      </c>
      <c r="G46" s="1" t="str">
        <f t="shared" si="1"/>
        <v>43rd</v>
      </c>
      <c r="H46" s="6">
        <f>VLOOKUP(F46,League_Points!$A$2:$B$61,2)</f>
        <v>8</v>
      </c>
      <c r="J46" s="24">
        <f>IF(LEN(B46)-LEN(SUBSTITUTE(B46,"&amp;",""))&gt;0,CONCATENATE(COUNTIF('League Results'!$D$5:$D$95,MID(B46,1,FIND(" &amp; ",B46)-1)),"-",COUNTIF('League Results'!$D$5:$D$64,MID(B46,FIND(" &amp; ",B46)+3,LEN(B46)))),COUNTIF('League Results'!$D$5:$D$95,B46))</f>
        <v>1</v>
      </c>
      <c r="R46" s="47"/>
      <c r="T46" s="48"/>
      <c r="X46" s="49"/>
    </row>
    <row r="47" spans="2:24" ht="16" thickBot="1" x14ac:dyDescent="0.4">
      <c r="B47" s="5" t="s">
        <v>113</v>
      </c>
      <c r="C47" s="51">
        <v>300</v>
      </c>
      <c r="D47" s="1"/>
      <c r="E47" s="1">
        <f t="shared" si="0"/>
        <v>300</v>
      </c>
      <c r="F47" s="1">
        <f t="array" ref="F47">COUNTIF($E$4:$E$87,"&gt;"&amp;E47)+1+SUMPRODUCT(--($E$4:$E$87=E47),--($D$4:$D$87&lt;D47))</f>
        <v>44</v>
      </c>
      <c r="G47" s="1" t="str">
        <f t="shared" si="1"/>
        <v>44th</v>
      </c>
      <c r="H47" s="6">
        <f>VLOOKUP(F47,League_Points!$A$2:$B$61,2)</f>
        <v>7</v>
      </c>
      <c r="J47" s="24">
        <f>IF(LEN(B47)-LEN(SUBSTITUTE(B47,"&amp;",""))&gt;0,CONCATENATE(COUNTIF('League Results'!$D$5:$D$95,MID(B47,1,FIND(" &amp; ",B47)-1)),"-",COUNTIF('League Results'!$D$5:$D$64,MID(B47,FIND(" &amp; ",B47)+3,LEN(B47)))),COUNTIF('League Results'!$D$5:$D$95,B47))</f>
        <v>1</v>
      </c>
      <c r="R47" s="47"/>
      <c r="T47" s="48"/>
      <c r="X47" s="49"/>
    </row>
    <row r="48" spans="2:24" ht="16" thickBot="1" x14ac:dyDescent="0.4">
      <c r="B48" s="5" t="s">
        <v>96</v>
      </c>
      <c r="C48" s="51">
        <v>280</v>
      </c>
      <c r="D48" s="1"/>
      <c r="E48" s="1">
        <f t="shared" si="0"/>
        <v>280</v>
      </c>
      <c r="F48" s="1">
        <f t="array" ref="F48">COUNTIF($E$4:$E$87,"&gt;"&amp;E48)+1+SUMPRODUCT(--($E$4:$E$87=E48),--($D$4:$D$87&lt;D48))</f>
        <v>45</v>
      </c>
      <c r="G48" s="1" t="str">
        <f t="shared" si="1"/>
        <v>45th</v>
      </c>
      <c r="H48" s="6">
        <f>VLOOKUP(F48,League_Points!$A$2:$B$61,2)</f>
        <v>6</v>
      </c>
      <c r="J48" s="24">
        <f>IF(LEN(B48)-LEN(SUBSTITUTE(B48,"&amp;",""))&gt;0,CONCATENATE(COUNTIF('League Results'!$D$5:$D$95,MID(B48,1,FIND(" &amp; ",B48)-1)),"-",COUNTIF('League Results'!$D$5:$D$64,MID(B48,FIND(" &amp; ",B48)+3,LEN(B48)))),COUNTIF('League Results'!$D$5:$D$95,B48))</f>
        <v>1</v>
      </c>
      <c r="R48" s="47"/>
      <c r="T48" s="48"/>
      <c r="X48" s="49"/>
    </row>
    <row r="49" spans="2:24" x14ac:dyDescent="0.35">
      <c r="B49" s="5" t="s">
        <v>114</v>
      </c>
      <c r="C49" s="51">
        <v>290</v>
      </c>
      <c r="D49" s="1">
        <v>30</v>
      </c>
      <c r="E49" s="1">
        <f t="shared" si="0"/>
        <v>260</v>
      </c>
      <c r="F49" s="1">
        <f t="array" ref="F49">COUNTIF($E$4:$E$87,"&gt;"&amp;E49)+1+SUMPRODUCT(--($E$4:$E$87=E49),--($D$4:$D$87&lt;D49))</f>
        <v>46</v>
      </c>
      <c r="G49" s="1" t="str">
        <f t="shared" si="1"/>
        <v>46th</v>
      </c>
      <c r="H49" s="6">
        <f>VLOOKUP(F49,League_Points!$A$2:$B$61,2)</f>
        <v>5</v>
      </c>
      <c r="J49" s="24">
        <f>IF(LEN(B49)-LEN(SUBSTITUTE(B49,"&amp;",""))&gt;0,CONCATENATE(COUNTIF('League Results'!$D$5:$D$95,MID(B49,1,FIND(" &amp; ",B49)-1)),"-",COUNTIF('League Results'!$D$5:$D$64,MID(B49,FIND(" &amp; ",B49)+3,LEN(B49)))),COUNTIF('League Results'!$D$5:$D$95,B49))</f>
        <v>1</v>
      </c>
      <c r="R49" s="47"/>
      <c r="T49" s="48"/>
      <c r="X49" s="49"/>
    </row>
    <row r="50" spans="2:24" ht="16" thickBot="1" x14ac:dyDescent="0.4">
      <c r="B50" s="5" t="s">
        <v>59</v>
      </c>
      <c r="C50" s="8" t="s">
        <v>22</v>
      </c>
      <c r="D50" s="8"/>
      <c r="E50" s="8"/>
      <c r="F50" s="8"/>
      <c r="G50" s="8"/>
      <c r="H50" s="9" t="s">
        <v>23</v>
      </c>
      <c r="J50" s="23">
        <f>IF(LEN(B50)-LEN(SUBSTITUTE(B50,"&amp;",""))&gt;0,CONCATENATE(COUNTIF('League Results'!$D$5:$D$64,MID(B50,1,FIND(" &amp; ",B50)-1)),"-",COUNTIF('League Results'!$D$5:$D$64,MID(B50,FIND(" &amp; ",B50)+3,LEN(B50)))),COUNTIF('League Results'!$D$5:$D$64,B50))</f>
        <v>1</v>
      </c>
    </row>
    <row r="52" spans="2:24" ht="71.25" customHeight="1" x14ac:dyDescent="0.35">
      <c r="B52" s="62" t="s">
        <v>24</v>
      </c>
      <c r="C52" s="62"/>
      <c r="D52" s="62"/>
      <c r="E52" s="62"/>
      <c r="F52" s="62"/>
      <c r="G52" s="62"/>
      <c r="H52" s="62"/>
    </row>
    <row r="54" spans="2:24" ht="64" customHeight="1" x14ac:dyDescent="0.35">
      <c r="B54" s="62" t="s">
        <v>25</v>
      </c>
      <c r="C54" s="62"/>
      <c r="D54" s="62"/>
      <c r="E54" s="62"/>
      <c r="F54" s="62"/>
      <c r="G54" s="62"/>
      <c r="H54" s="62"/>
    </row>
  </sheetData>
  <autoFilter ref="B3:H3" xr:uid="{00000000-0009-0000-0000-000003000000}">
    <sortState xmlns:xlrd2="http://schemas.microsoft.com/office/spreadsheetml/2017/richdata2" ref="B4:H51">
      <sortCondition descending="1" ref="E3"/>
    </sortState>
  </autoFilter>
  <mergeCells count="3">
    <mergeCell ref="B2:H2"/>
    <mergeCell ref="B52:H52"/>
    <mergeCell ref="B54:H54"/>
  </mergeCells>
  <conditionalFormatting sqref="J4:J50">
    <cfRule type="expression" dxfId="12" priority="2">
      <formula>AND($J4&lt;&gt;1,$J4&lt;&gt;"1-1")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fitToPage="1"/>
  </sheetPr>
  <dimension ref="B1:J54"/>
  <sheetViews>
    <sheetView topLeftCell="A40" workbookViewId="0">
      <selection activeCell="J52" sqref="J52"/>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Cheam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ht="16" thickBot="1" x14ac:dyDescent="0.4">
      <c r="B4" s="2" t="s">
        <v>9</v>
      </c>
      <c r="C4" s="70">
        <v>1260</v>
      </c>
      <c r="D4" s="3">
        <v>0</v>
      </c>
      <c r="E4" s="3">
        <f>C4-D4</f>
        <v>1260</v>
      </c>
      <c r="F4" s="3">
        <f t="array" ref="F4">COUNTIF($E$4:$E$87,"&gt;"&amp;E4)+1+SUMPRODUCT(--($E$4:$E$87=E4),--($D$4:$D$87&lt;D4))</f>
        <v>1</v>
      </c>
      <c r="G4" s="3" t="str">
        <f>F4&amp;IF(AND(MOD(ABS(F4),100)&gt;10,MOD(ABS(F4),100)&lt;14),"th",CHOOSE(MOD(ABS(F4),10)+1,"th","st","nd","rd","th","th","th","th","th","th"))</f>
        <v>1st</v>
      </c>
      <c r="H4" s="4">
        <f>VLOOKUP(F4,League_Points!$A$2:$B$61,2)</f>
        <v>50</v>
      </c>
      <c r="J4" s="24">
        <f>IF(LEN(B4)-LEN(SUBSTITUTE(B4,"&amp;",""))&gt;0,CONCATENATE(COUNTIF('League Results'!$D$5:$D$172,MID(B4,1,FIND(" &amp; ",B4)-1)),"-",COUNTIF('League Results'!$D$5:$D$172,MID(B4,FIND(" &amp; ",B4)+3,LEN(B4)))),COUNTIF('League Results'!$D$5:$D$172,B4))</f>
        <v>1</v>
      </c>
    </row>
    <row r="5" spans="2:10" ht="16" thickBot="1" x14ac:dyDescent="0.4">
      <c r="B5" s="5" t="s">
        <v>75</v>
      </c>
      <c r="C5" s="70">
        <v>1250</v>
      </c>
      <c r="D5" s="1">
        <v>0</v>
      </c>
      <c r="E5" s="1">
        <f>C5-D5</f>
        <v>1250</v>
      </c>
      <c r="F5" s="1">
        <f t="array" ref="F5">COUNTIF($E$4:$E$87,"&gt;"&amp;E5)+1+SUMPRODUCT(--($E$4:$E$87=E5),--($D$4:$D$87&lt;D5))</f>
        <v>2</v>
      </c>
      <c r="G5" s="1" t="str">
        <f>F5&amp;IF(AND(MOD(ABS(F5),100)&gt;10,MOD(ABS(F5),100)&lt;14),"th",CHOOSE(MOD(ABS(F5),10)+1,"th","st","nd","rd","th","th","th","th","th","th"))</f>
        <v>2nd</v>
      </c>
      <c r="H5" s="6">
        <f>VLOOKUP(F5,League_Points!$A$2:$B$61,2)</f>
        <v>49</v>
      </c>
      <c r="J5" s="24">
        <f>IF(LEN(B5)-LEN(SUBSTITUTE(B5,"&amp;",""))&gt;0,CONCATENATE(COUNTIF('League Results'!$D$5:$D$172,MID(B5,1,FIND(" &amp; ",B5)-1)),"-",COUNTIF('League Results'!$D$5:$D$172,MID(B5,FIND(" &amp; ",B5)+3,LEN(B5)))),COUNTIF('League Results'!$D$5:$D$172,B5))</f>
        <v>1</v>
      </c>
    </row>
    <row r="6" spans="2:10" ht="16" thickBot="1" x14ac:dyDescent="0.4">
      <c r="B6" s="5" t="s">
        <v>14</v>
      </c>
      <c r="C6" s="70">
        <v>1120</v>
      </c>
      <c r="D6" s="1">
        <v>0</v>
      </c>
      <c r="E6" s="1">
        <f>C6-D6</f>
        <v>1120</v>
      </c>
      <c r="F6" s="1">
        <f t="array" ref="F6">COUNTIF($E$4:$E$87,"&gt;"&amp;E6)+1+SUMPRODUCT(--($E$4:$E$87=E6),--($D$4:$D$87&lt;D6))</f>
        <v>3</v>
      </c>
      <c r="G6" s="1" t="str">
        <f>F6&amp;IF(AND(MOD(ABS(F6),100)&gt;10,MOD(ABS(F6),100)&lt;14),"th",CHOOSE(MOD(ABS(F6),10)+1,"th","st","nd","rd","th","th","th","th","th","th"))</f>
        <v>3rd</v>
      </c>
      <c r="H6" s="6">
        <f>VLOOKUP(F6,League_Points!$A$2:$B$61,2)</f>
        <v>48</v>
      </c>
      <c r="J6" s="24">
        <f>IF(LEN(B6)-LEN(SUBSTITUTE(B6,"&amp;",""))&gt;0,CONCATENATE(COUNTIF('League Results'!$D$5:$D$172,MID(B6,1,FIND(" &amp; ",B6)-1)),"-",COUNTIF('League Results'!$D$5:$D$172,MID(B6,FIND(" &amp; ",B6)+3,LEN(B6)))),COUNTIF('League Results'!$D$5:$D$172,B6))</f>
        <v>1</v>
      </c>
    </row>
    <row r="7" spans="2:10" ht="16" thickBot="1" x14ac:dyDescent="0.4">
      <c r="B7" s="5" t="s">
        <v>8</v>
      </c>
      <c r="C7" s="70">
        <v>1110</v>
      </c>
      <c r="D7" s="1">
        <v>0</v>
      </c>
      <c r="E7" s="1">
        <f>C7-D7</f>
        <v>1110</v>
      </c>
      <c r="F7" s="1">
        <f t="array" ref="F7">COUNTIF($E$4:$E$87,"&gt;"&amp;E7)+1+SUMPRODUCT(--($E$4:$E$87=E7),--($D$4:$D$87&lt;D7))</f>
        <v>4</v>
      </c>
      <c r="G7" s="1" t="str">
        <f>F7&amp;IF(AND(MOD(ABS(F7),100)&gt;10,MOD(ABS(F7),100)&lt;14),"th",CHOOSE(MOD(ABS(F7),10)+1,"th","st","nd","rd","th","th","th","th","th","th"))</f>
        <v>4th</v>
      </c>
      <c r="H7" s="6">
        <f>VLOOKUP(F7,League_Points!$A$2:$B$61,2)</f>
        <v>47</v>
      </c>
      <c r="J7" s="24">
        <f>IF(LEN(B7)-LEN(SUBSTITUTE(B7,"&amp;",""))&gt;0,CONCATENATE(COUNTIF('League Results'!$D$5:$D$172,MID(B7,1,FIND(" &amp; ",B7)-1)),"-",COUNTIF('League Results'!$D$5:$D$172,MID(B7,FIND(" &amp; ",B7)+3,LEN(B7)))),COUNTIF('League Results'!$D$5:$D$172,B7))</f>
        <v>1</v>
      </c>
    </row>
    <row r="8" spans="2:10" ht="16" thickBot="1" x14ac:dyDescent="0.4">
      <c r="B8" s="5" t="s">
        <v>94</v>
      </c>
      <c r="C8" s="70">
        <v>1030</v>
      </c>
      <c r="D8" s="1">
        <v>0</v>
      </c>
      <c r="E8" s="1">
        <f>C8-D8</f>
        <v>1030</v>
      </c>
      <c r="F8" s="1">
        <f t="array" ref="F8">COUNTIF($E$4:$E$87,"&gt;"&amp;E8)+1+SUMPRODUCT(--($E$4:$E$87=E8),--($D$4:$D$87&lt;D8))</f>
        <v>5</v>
      </c>
      <c r="G8" s="1" t="str">
        <f>F8&amp;IF(AND(MOD(ABS(F8),100)&gt;10,MOD(ABS(F8),100)&lt;14),"th",CHOOSE(MOD(ABS(F8),10)+1,"th","st","nd","rd","th","th","th","th","th","th"))</f>
        <v>5th</v>
      </c>
      <c r="H8" s="6">
        <f>VLOOKUP(F8,League_Points!$A$2:$B$61,2)</f>
        <v>46</v>
      </c>
      <c r="J8" s="24">
        <f>IF(LEN(B8)-LEN(SUBSTITUTE(B8,"&amp;",""))&gt;0,CONCATENATE(COUNTIF('League Results'!$D$5:$D$172,MID(B8,1,FIND(" &amp; ",B8)-1)),"-",COUNTIF('League Results'!$D$5:$D$172,MID(B8,FIND(" &amp; ",B8)+3,LEN(B8)))),COUNTIF('League Results'!$D$5:$D$172,B8))</f>
        <v>1</v>
      </c>
    </row>
    <row r="9" spans="2:10" ht="16" thickBot="1" x14ac:dyDescent="0.4">
      <c r="B9" s="5" t="s">
        <v>11</v>
      </c>
      <c r="C9" s="70">
        <v>1010</v>
      </c>
      <c r="D9" s="1">
        <v>0</v>
      </c>
      <c r="E9" s="1">
        <f>C9-D9</f>
        <v>1010</v>
      </c>
      <c r="F9" s="1">
        <f t="array" ref="F9">COUNTIF($E$4:$E$87,"&gt;"&amp;E9)+1+SUMPRODUCT(--($E$4:$E$87=E9),--($D$4:$D$87&lt;D9))</f>
        <v>6</v>
      </c>
      <c r="G9" s="1" t="str">
        <f>F9&amp;IF(AND(MOD(ABS(F9),100)&gt;10,MOD(ABS(F9),100)&lt;14),"th",CHOOSE(MOD(ABS(F9),10)+1,"th","st","nd","rd","th","th","th","th","th","th"))</f>
        <v>6th</v>
      </c>
      <c r="H9" s="6">
        <f>VLOOKUP(F9,League_Points!$A$2:$B$61,2)</f>
        <v>45</v>
      </c>
      <c r="J9" s="24">
        <f>IF(LEN(B9)-LEN(SUBSTITUTE(B9,"&amp;",""))&gt;0,CONCATENATE(COUNTIF('League Results'!$D$5:$D$172,MID(B9,1,FIND(" &amp; ",B9)-1)),"-",COUNTIF('League Results'!$D$5:$D$172,MID(B9,FIND(" &amp; ",B9)+3,LEN(B9)))),COUNTIF('League Results'!$D$5:$D$172,B9))</f>
        <v>1</v>
      </c>
    </row>
    <row r="10" spans="2:10" ht="16" thickBot="1" x14ac:dyDescent="0.4">
      <c r="B10" s="5" t="s">
        <v>59</v>
      </c>
      <c r="C10" s="70">
        <v>1000</v>
      </c>
      <c r="D10" s="1">
        <v>0</v>
      </c>
      <c r="E10" s="1">
        <f>C10-D10</f>
        <v>1000</v>
      </c>
      <c r="F10" s="1">
        <f t="array" ref="F10">COUNTIF($E$4:$E$87,"&gt;"&amp;E10)+1+SUMPRODUCT(--($E$4:$E$87=E10),--($D$4:$D$87&lt;D10))</f>
        <v>7</v>
      </c>
      <c r="G10" s="1" t="str">
        <f>F10&amp;IF(AND(MOD(ABS(F10),100)&gt;10,MOD(ABS(F10),100)&lt;14),"th",CHOOSE(MOD(ABS(F10),10)+1,"th","st","nd","rd","th","th","th","th","th","th"))</f>
        <v>7th</v>
      </c>
      <c r="H10" s="6">
        <f>VLOOKUP(F10,League_Points!$A$2:$B$61,2)</f>
        <v>44</v>
      </c>
      <c r="J10" s="24">
        <f>IF(LEN(B10)-LEN(SUBSTITUTE(B10,"&amp;",""))&gt;0,CONCATENATE(COUNTIF('League Results'!$D$5:$D$172,MID(B10,1,FIND(" &amp; ",B10)-1)),"-",COUNTIF('League Results'!$D$5:$D$172,MID(B10,FIND(" &amp; ",B10)+3,LEN(B10)))),COUNTIF('League Results'!$D$5:$D$172,B10))</f>
        <v>1</v>
      </c>
    </row>
    <row r="11" spans="2:10" ht="16" thickBot="1" x14ac:dyDescent="0.4">
      <c r="B11" s="5" t="s">
        <v>26</v>
      </c>
      <c r="C11" s="70">
        <v>970</v>
      </c>
      <c r="D11" s="1">
        <v>0</v>
      </c>
      <c r="E11" s="1">
        <f>C11-D11</f>
        <v>970</v>
      </c>
      <c r="F11" s="1">
        <f t="array" ref="F11">COUNTIF($E$4:$E$87,"&gt;"&amp;E11)+1+SUMPRODUCT(--($E$4:$E$87=E11),--($D$4:$D$87&lt;D11))</f>
        <v>8</v>
      </c>
      <c r="G11" s="1" t="str">
        <f>F11&amp;IF(AND(MOD(ABS(F11),100)&gt;10,MOD(ABS(F11),100)&lt;14),"th",CHOOSE(MOD(ABS(F11),10)+1,"th","st","nd","rd","th","th","th","th","th","th"))</f>
        <v>8th</v>
      </c>
      <c r="H11" s="6">
        <f>VLOOKUP(F11,League_Points!$A$2:$B$61,2)</f>
        <v>43</v>
      </c>
      <c r="J11" s="24">
        <f>IF(LEN(B11)-LEN(SUBSTITUTE(B11,"&amp;",""))&gt;0,CONCATENATE(COUNTIF('League Results'!$D$5:$D$172,MID(B11,1,FIND(" &amp; ",B11)-1)),"-",COUNTIF('League Results'!$D$5:$D$172,MID(B11,FIND(" &amp; ",B11)+3,LEN(B11)))),COUNTIF('League Results'!$D$5:$D$172,B11))</f>
        <v>1</v>
      </c>
    </row>
    <row r="12" spans="2:10" ht="16" thickBot="1" x14ac:dyDescent="0.4">
      <c r="B12" s="5" t="s">
        <v>78</v>
      </c>
      <c r="C12" s="70">
        <v>950</v>
      </c>
      <c r="D12" s="1">
        <v>0</v>
      </c>
      <c r="E12" s="1">
        <f>C12-D12</f>
        <v>950</v>
      </c>
      <c r="F12" s="1">
        <f t="array" ref="F12">COUNTIF($E$4:$E$87,"&gt;"&amp;E12)+1+SUMPRODUCT(--($E$4:$E$87=E12),--($D$4:$D$87&lt;D12))</f>
        <v>9</v>
      </c>
      <c r="G12" s="1" t="str">
        <f>F12&amp;IF(AND(MOD(ABS(F12),100)&gt;10,MOD(ABS(F12),100)&lt;14),"th",CHOOSE(MOD(ABS(F12),10)+1,"th","st","nd","rd","th","th","th","th","th","th"))</f>
        <v>9th</v>
      </c>
      <c r="H12" s="6">
        <f>VLOOKUP(F12,League_Points!$A$2:$B$61,2)</f>
        <v>42</v>
      </c>
      <c r="J12" s="24">
        <f>IF(LEN(B12)-LEN(SUBSTITUTE(B12,"&amp;",""))&gt;0,CONCATENATE(COUNTIF('League Results'!$D$5:$D$172,MID(B12,1,FIND(" &amp; ",B12)-1)),"-",COUNTIF('League Results'!$D$5:$D$172,MID(B12,FIND(" &amp; ",B12)+3,LEN(B12)))),COUNTIF('League Results'!$D$5:$D$172,B12))</f>
        <v>1</v>
      </c>
    </row>
    <row r="13" spans="2:10" ht="16" thickBot="1" x14ac:dyDescent="0.4">
      <c r="B13" s="5" t="s">
        <v>58</v>
      </c>
      <c r="C13" s="70">
        <v>960</v>
      </c>
      <c r="D13" s="1">
        <v>60</v>
      </c>
      <c r="E13" s="1">
        <f>C13-D13</f>
        <v>900</v>
      </c>
      <c r="F13" s="1">
        <f t="array" ref="F13">COUNTIF($E$4:$E$87,"&gt;"&amp;E13)+1+SUMPRODUCT(--($E$4:$E$87=E13),--($D$4:$D$87&lt;D13))</f>
        <v>10</v>
      </c>
      <c r="G13" s="1" t="str">
        <f>F13&amp;IF(AND(MOD(ABS(F13),100)&gt;10,MOD(ABS(F13),100)&lt;14),"th",CHOOSE(MOD(ABS(F13),10)+1,"th","st","nd","rd","th","th","th","th","th","th"))</f>
        <v>10th</v>
      </c>
      <c r="H13" s="6">
        <f>VLOOKUP(F13,League_Points!$A$2:$B$61,2)</f>
        <v>41</v>
      </c>
      <c r="J13" s="24">
        <f>IF(LEN(B13)-LEN(SUBSTITUTE(B13,"&amp;",""))&gt;0,CONCATENATE(COUNTIF('League Results'!$D$5:$D$172,MID(B13,1,FIND(" &amp; ",B13)-1)),"-",COUNTIF('League Results'!$D$5:$D$172,MID(B13,FIND(" &amp; ",B13)+3,LEN(B13)))),COUNTIF('League Results'!$D$5:$D$172,B13))</f>
        <v>1</v>
      </c>
    </row>
    <row r="14" spans="2:10" ht="16" thickBot="1" x14ac:dyDescent="0.4">
      <c r="B14" s="5" t="s">
        <v>79</v>
      </c>
      <c r="C14" s="70">
        <v>960</v>
      </c>
      <c r="D14" s="1">
        <v>60</v>
      </c>
      <c r="E14" s="1">
        <f>C14-D14</f>
        <v>900</v>
      </c>
      <c r="F14" s="1">
        <f t="array" ref="F14">COUNTIF($E$4:$E$87,"&gt;"&amp;E14)+1+SUMPRODUCT(--($E$4:$E$87=E14),--($D$4:$D$87&lt;D14))</f>
        <v>10</v>
      </c>
      <c r="G14" s="1" t="str">
        <f>F14&amp;IF(AND(MOD(ABS(F14),100)&gt;10,MOD(ABS(F14),100)&lt;14),"th",CHOOSE(MOD(ABS(F14),10)+1,"th","st","nd","rd","th","th","th","th","th","th"))</f>
        <v>10th</v>
      </c>
      <c r="H14" s="6">
        <f>VLOOKUP(F14,League_Points!$A$2:$B$61,2)</f>
        <v>41</v>
      </c>
      <c r="J14" s="24">
        <f>IF(LEN(B14)-LEN(SUBSTITUTE(B14,"&amp;",""))&gt;0,CONCATENATE(COUNTIF('League Results'!$D$5:$D$172,MID(B14,1,FIND(" &amp; ",B14)-1)),"-",COUNTIF('League Results'!$D$5:$D$172,MID(B14,FIND(" &amp; ",B14)+3,LEN(B14)))),COUNTIF('League Results'!$D$5:$D$172,B14))</f>
        <v>1</v>
      </c>
    </row>
    <row r="15" spans="2:10" ht="16" thickBot="1" x14ac:dyDescent="0.4">
      <c r="B15" s="5" t="s">
        <v>80</v>
      </c>
      <c r="C15" s="70">
        <v>890</v>
      </c>
      <c r="D15" s="1">
        <v>0</v>
      </c>
      <c r="E15" s="1">
        <f>C15-D15</f>
        <v>890</v>
      </c>
      <c r="F15" s="1">
        <f t="array" ref="F15">COUNTIF($E$4:$E$87,"&gt;"&amp;E15)+1+SUMPRODUCT(--($E$4:$E$87=E15),--($D$4:$D$87&lt;D15))</f>
        <v>12</v>
      </c>
      <c r="G15" s="1" t="str">
        <f>F15&amp;IF(AND(MOD(ABS(F15),100)&gt;10,MOD(ABS(F15),100)&lt;14),"th",CHOOSE(MOD(ABS(F15),10)+1,"th","st","nd","rd","th","th","th","th","th","th"))</f>
        <v>12th</v>
      </c>
      <c r="H15" s="6">
        <f>VLOOKUP(F15,League_Points!$A$2:$B$61,2)</f>
        <v>39</v>
      </c>
      <c r="J15" s="24">
        <f>IF(LEN(B15)-LEN(SUBSTITUTE(B15,"&amp;",""))&gt;0,CONCATENATE(COUNTIF('League Results'!$D$5:$D$172,MID(B15,1,FIND(" &amp; ",B15)-1)),"-",COUNTIF('League Results'!$D$5:$D$172,MID(B15,FIND(" &amp; ",B15)+3,LEN(B15)))),COUNTIF('League Results'!$D$5:$D$172,B15))</f>
        <v>1</v>
      </c>
    </row>
    <row r="16" spans="2:10" ht="16" thickBot="1" x14ac:dyDescent="0.4">
      <c r="B16" s="5" t="s">
        <v>83</v>
      </c>
      <c r="C16" s="70">
        <v>880</v>
      </c>
      <c r="D16" s="1">
        <v>0</v>
      </c>
      <c r="E16" s="1">
        <f>C16-D16</f>
        <v>880</v>
      </c>
      <c r="F16" s="1">
        <f t="array" ref="F16">COUNTIF($E$4:$E$87,"&gt;"&amp;E16)+1+SUMPRODUCT(--($E$4:$E$87=E16),--($D$4:$D$87&lt;D16))</f>
        <v>13</v>
      </c>
      <c r="G16" s="1" t="str">
        <f>F16&amp;IF(AND(MOD(ABS(F16),100)&gt;10,MOD(ABS(F16),100)&lt;14),"th",CHOOSE(MOD(ABS(F16),10)+1,"th","st","nd","rd","th","th","th","th","th","th"))</f>
        <v>13th</v>
      </c>
      <c r="H16" s="6">
        <f>VLOOKUP(F16,League_Points!$A$2:$B$61,2)</f>
        <v>38</v>
      </c>
      <c r="J16" s="24">
        <f>IF(LEN(B16)-LEN(SUBSTITUTE(B16,"&amp;",""))&gt;0,CONCATENATE(COUNTIF('League Results'!$D$5:$D$172,MID(B16,1,FIND(" &amp; ",B16)-1)),"-",COUNTIF('League Results'!$D$5:$D$172,MID(B16,FIND(" &amp; ",B16)+3,LEN(B16)))),COUNTIF('League Results'!$D$5:$D$172,B16))</f>
        <v>1</v>
      </c>
    </row>
    <row r="17" spans="2:10" ht="16" thickBot="1" x14ac:dyDescent="0.4">
      <c r="B17" s="5" t="s">
        <v>27</v>
      </c>
      <c r="C17" s="70">
        <v>860</v>
      </c>
      <c r="D17" s="1">
        <v>0</v>
      </c>
      <c r="E17" s="1">
        <f>C17-D17</f>
        <v>860</v>
      </c>
      <c r="F17" s="1">
        <f t="array" ref="F17">COUNTIF($E$4:$E$87,"&gt;"&amp;E17)+1+SUMPRODUCT(--($E$4:$E$87=E17),--($D$4:$D$87&lt;D17))</f>
        <v>14</v>
      </c>
      <c r="G17" s="1" t="str">
        <f>F17&amp;IF(AND(MOD(ABS(F17),100)&gt;10,MOD(ABS(F17),100)&lt;14),"th",CHOOSE(MOD(ABS(F17),10)+1,"th","st","nd","rd","th","th","th","th","th","th"))</f>
        <v>14th</v>
      </c>
      <c r="H17" s="6">
        <f>VLOOKUP(F17,League_Points!$A$2:$B$61,2)</f>
        <v>37</v>
      </c>
      <c r="J17" s="24">
        <f>IF(LEN(B17)-LEN(SUBSTITUTE(B17,"&amp;",""))&gt;0,CONCATENATE(COUNTIF('League Results'!$D$5:$D$172,MID(B17,1,FIND(" &amp; ",B17)-1)),"-",COUNTIF('League Results'!$D$5:$D$172,MID(B17,FIND(" &amp; ",B17)+3,LEN(B17)))),COUNTIF('League Results'!$D$5:$D$172,B17))</f>
        <v>1</v>
      </c>
    </row>
    <row r="18" spans="2:10" ht="16" thickBot="1" x14ac:dyDescent="0.4">
      <c r="B18" s="5" t="s">
        <v>76</v>
      </c>
      <c r="C18" s="70">
        <v>810</v>
      </c>
      <c r="D18" s="1">
        <v>0</v>
      </c>
      <c r="E18" s="1">
        <f>C18-D18</f>
        <v>810</v>
      </c>
      <c r="F18" s="1">
        <f t="array" ref="F18">COUNTIF($E$4:$E$87,"&gt;"&amp;E18)+1+SUMPRODUCT(--($E$4:$E$87=E18),--($D$4:$D$87&lt;D18))</f>
        <v>15</v>
      </c>
      <c r="G18" s="1" t="str">
        <f>F18&amp;IF(AND(MOD(ABS(F18),100)&gt;10,MOD(ABS(F18),100)&lt;14),"th",CHOOSE(MOD(ABS(F18),10)+1,"th","st","nd","rd","th","th","th","th","th","th"))</f>
        <v>15th</v>
      </c>
      <c r="H18" s="6">
        <f>VLOOKUP(F18,League_Points!$A$2:$B$61,2)</f>
        <v>36</v>
      </c>
      <c r="J18" s="24">
        <f>IF(LEN(B18)-LEN(SUBSTITUTE(B18,"&amp;",""))&gt;0,CONCATENATE(COUNTIF('League Results'!$D$5:$D$172,MID(B18,1,FIND(" &amp; ",B18)-1)),"-",COUNTIF('League Results'!$D$5:$D$172,MID(B18,FIND(" &amp; ",B18)+3,LEN(B18)))),COUNTIF('League Results'!$D$5:$D$172,B18))</f>
        <v>1</v>
      </c>
    </row>
    <row r="19" spans="2:10" ht="16" thickBot="1" x14ac:dyDescent="0.4">
      <c r="B19" s="5" t="s">
        <v>119</v>
      </c>
      <c r="C19" s="70">
        <v>800</v>
      </c>
      <c r="D19" s="1">
        <v>0</v>
      </c>
      <c r="E19" s="1">
        <f>C19-D19</f>
        <v>800</v>
      </c>
      <c r="F19" s="1">
        <f t="array" ref="F19">COUNTIF($E$4:$E$87,"&gt;"&amp;E19)+1+SUMPRODUCT(--($E$4:$E$87=E19),--($D$4:$D$87&lt;D19))</f>
        <v>16</v>
      </c>
      <c r="G19" s="1" t="str">
        <f>F19&amp;IF(AND(MOD(ABS(F19),100)&gt;10,MOD(ABS(F19),100)&lt;14),"th",CHOOSE(MOD(ABS(F19),10)+1,"th","st","nd","rd","th","th","th","th","th","th"))</f>
        <v>16th</v>
      </c>
      <c r="H19" s="6">
        <f>VLOOKUP(F19,League_Points!$A$2:$B$61,2)</f>
        <v>35</v>
      </c>
      <c r="J19" s="24">
        <f>IF(LEN(B19)-LEN(SUBSTITUTE(B19,"&amp;",""))&gt;0,CONCATENATE(COUNTIF('League Results'!$D$5:$D$172,MID(B19,1,FIND(" &amp; ",B19)-1)),"-",COUNTIF('League Results'!$D$5:$D$172,MID(B19,FIND(" &amp; ",B19)+3,LEN(B19)))),COUNTIF('League Results'!$D$5:$D$172,B19))</f>
        <v>1</v>
      </c>
    </row>
    <row r="20" spans="2:10" ht="16" thickBot="1" x14ac:dyDescent="0.4">
      <c r="B20" s="5" t="s">
        <v>120</v>
      </c>
      <c r="C20" s="70">
        <v>800</v>
      </c>
      <c r="D20" s="1">
        <v>0</v>
      </c>
      <c r="E20" s="1">
        <f>C20-D20</f>
        <v>800</v>
      </c>
      <c r="F20" s="1">
        <f t="array" ref="F20">COUNTIF($E$4:$E$87,"&gt;"&amp;E20)+1+SUMPRODUCT(--($E$4:$E$87=E20),--($D$4:$D$87&lt;D20))</f>
        <v>16</v>
      </c>
      <c r="G20" s="1" t="str">
        <f>F20&amp;IF(AND(MOD(ABS(F20),100)&gt;10,MOD(ABS(F20),100)&lt;14),"th",CHOOSE(MOD(ABS(F20),10)+1,"th","st","nd","rd","th","th","th","th","th","th"))</f>
        <v>16th</v>
      </c>
      <c r="H20" s="6">
        <f>VLOOKUP(F20,League_Points!$A$2:$B$61,2)</f>
        <v>35</v>
      </c>
      <c r="J20" s="24">
        <f>IF(LEN(B20)-LEN(SUBSTITUTE(B20,"&amp;",""))&gt;0,CONCATENATE(COUNTIF('League Results'!$D$5:$D$172,MID(B20,1,FIND(" &amp; ",B20)-1)),"-",COUNTIF('League Results'!$D$5:$D$172,MID(B20,FIND(" &amp; ",B20)+3,LEN(B20)))),COUNTIF('League Results'!$D$5:$D$172,B20))</f>
        <v>1</v>
      </c>
    </row>
    <row r="21" spans="2:10" ht="16" thickBot="1" x14ac:dyDescent="0.4">
      <c r="B21" s="5" t="s">
        <v>121</v>
      </c>
      <c r="C21" s="70">
        <v>920</v>
      </c>
      <c r="D21" s="1">
        <v>120</v>
      </c>
      <c r="E21" s="1">
        <f>C21-D21</f>
        <v>800</v>
      </c>
      <c r="F21" s="1">
        <f t="array" ref="F21">COUNTIF($E$4:$E$87,"&gt;"&amp;E21)+1+SUMPRODUCT(--($E$4:$E$87=E21),--($D$4:$D$87&lt;D21))</f>
        <v>18</v>
      </c>
      <c r="G21" s="1" t="str">
        <f>F21&amp;IF(AND(MOD(ABS(F21),100)&gt;10,MOD(ABS(F21),100)&lt;14),"th",CHOOSE(MOD(ABS(F21),10)+1,"th","st","nd","rd","th","th","th","th","th","th"))</f>
        <v>18th</v>
      </c>
      <c r="H21" s="6">
        <f>VLOOKUP(F21,League_Points!$A$2:$B$61,2)</f>
        <v>33</v>
      </c>
      <c r="J21" s="24">
        <f>IF(LEN(B21)-LEN(SUBSTITUTE(B21,"&amp;",""))&gt;0,CONCATENATE(COUNTIF('League Results'!$D$5:$D$172,MID(B21,1,FIND(" &amp; ",B21)-1)),"-",COUNTIF('League Results'!$D$5:$D$172,MID(B21,FIND(" &amp; ",B21)+3,LEN(B21)))),COUNTIF('League Results'!$D$5:$D$172,B21))</f>
        <v>1</v>
      </c>
    </row>
    <row r="22" spans="2:10" ht="16" thickBot="1" x14ac:dyDescent="0.4">
      <c r="B22" s="5" t="s">
        <v>10</v>
      </c>
      <c r="C22" s="70">
        <v>850</v>
      </c>
      <c r="D22" s="1">
        <v>60</v>
      </c>
      <c r="E22" s="1">
        <f>C22-D22</f>
        <v>790</v>
      </c>
      <c r="F22" s="1">
        <f t="array" ref="F22">COUNTIF($E$4:$E$87,"&gt;"&amp;E22)+1+SUMPRODUCT(--($E$4:$E$87=E22),--($D$4:$D$87&lt;D22))</f>
        <v>19</v>
      </c>
      <c r="G22" s="1" t="str">
        <f>F22&amp;IF(AND(MOD(ABS(F22),100)&gt;10,MOD(ABS(F22),100)&lt;14),"th",CHOOSE(MOD(ABS(F22),10)+1,"th","st","nd","rd","th","th","th","th","th","th"))</f>
        <v>19th</v>
      </c>
      <c r="H22" s="6">
        <f>VLOOKUP(F22,League_Points!$A$2:$B$61,2)</f>
        <v>32</v>
      </c>
      <c r="J22" s="24">
        <f>IF(LEN(B22)-LEN(SUBSTITUTE(B22,"&amp;",""))&gt;0,CONCATENATE(COUNTIF('League Results'!$D$5:$D$172,MID(B22,1,FIND(" &amp; ",B22)-1)),"-",COUNTIF('League Results'!$D$5:$D$172,MID(B22,FIND(" &amp; ",B22)+3,LEN(B22)))),COUNTIF('League Results'!$D$5:$D$172,B22))</f>
        <v>1</v>
      </c>
    </row>
    <row r="23" spans="2:10" ht="16" thickBot="1" x14ac:dyDescent="0.4">
      <c r="B23" s="5" t="s">
        <v>97</v>
      </c>
      <c r="C23" s="70">
        <v>780</v>
      </c>
      <c r="D23" s="1">
        <v>0</v>
      </c>
      <c r="E23" s="1">
        <f>C23-D23</f>
        <v>780</v>
      </c>
      <c r="F23" s="1">
        <f t="array" ref="F23">COUNTIF($E$4:$E$87,"&gt;"&amp;E23)+1+SUMPRODUCT(--($E$4:$E$87=E23),--($D$4:$D$87&lt;D23))</f>
        <v>20</v>
      </c>
      <c r="G23" s="1" t="str">
        <f>F23&amp;IF(AND(MOD(ABS(F23),100)&gt;10,MOD(ABS(F23),100)&lt;14),"th",CHOOSE(MOD(ABS(F23),10)+1,"th","st","nd","rd","th","th","th","th","th","th"))</f>
        <v>20th</v>
      </c>
      <c r="H23" s="6">
        <f>VLOOKUP(F23,League_Points!$A$2:$B$61,2)</f>
        <v>31</v>
      </c>
      <c r="J23" s="24">
        <f>IF(LEN(B23)-LEN(SUBSTITUTE(B23,"&amp;",""))&gt;0,CONCATENATE(COUNTIF('League Results'!$D$5:$D$172,MID(B23,1,FIND(" &amp; ",B23)-1)),"-",COUNTIF('League Results'!$D$5:$D$172,MID(B23,FIND(" &amp; ",B23)+3,LEN(B23)))),COUNTIF('League Results'!$D$5:$D$172,B23))</f>
        <v>1</v>
      </c>
    </row>
    <row r="24" spans="2:10" ht="16" thickBot="1" x14ac:dyDescent="0.4">
      <c r="B24" s="5" t="s">
        <v>60</v>
      </c>
      <c r="C24" s="70">
        <v>750</v>
      </c>
      <c r="D24" s="1">
        <v>0</v>
      </c>
      <c r="E24" s="1">
        <f>C24-D24</f>
        <v>750</v>
      </c>
      <c r="F24" s="1">
        <f t="array" ref="F24">COUNTIF($E$4:$E$87,"&gt;"&amp;E24)+1+SUMPRODUCT(--($E$4:$E$87=E24),--($D$4:$D$87&lt;D24))</f>
        <v>21</v>
      </c>
      <c r="G24" s="1" t="str">
        <f>F24&amp;IF(AND(MOD(ABS(F24),100)&gt;10,MOD(ABS(F24),100)&lt;14),"th",CHOOSE(MOD(ABS(F24),10)+1,"th","st","nd","rd","th","th","th","th","th","th"))</f>
        <v>21st</v>
      </c>
      <c r="H24" s="6">
        <f>VLOOKUP(F24,League_Points!$A$2:$B$61,2)</f>
        <v>30</v>
      </c>
      <c r="J24" s="24">
        <f>IF(LEN(B24)-LEN(SUBSTITUTE(B24,"&amp;",""))&gt;0,CONCATENATE(COUNTIF('League Results'!$D$5:$D$172,MID(B24,1,FIND(" &amp; ",B24)-1)),"-",COUNTIF('League Results'!$D$5:$D$172,MID(B24,FIND(" &amp; ",B24)+3,LEN(B24)))),COUNTIF('League Results'!$D$5:$D$172,B24))</f>
        <v>1</v>
      </c>
    </row>
    <row r="25" spans="2:10" ht="16" thickBot="1" x14ac:dyDescent="0.4">
      <c r="B25" s="5" t="s">
        <v>125</v>
      </c>
      <c r="C25" s="70">
        <v>730</v>
      </c>
      <c r="D25" s="1">
        <v>0</v>
      </c>
      <c r="E25" s="1">
        <f>C25-D25</f>
        <v>730</v>
      </c>
      <c r="F25" s="1">
        <f t="array" ref="F25">COUNTIF($E$4:$E$87,"&gt;"&amp;E25)+1+SUMPRODUCT(--($E$4:$E$87=E25),--($D$4:$D$87&lt;D25))</f>
        <v>22</v>
      </c>
      <c r="G25" s="1" t="str">
        <f>F25&amp;IF(AND(MOD(ABS(F25),100)&gt;10,MOD(ABS(F25),100)&lt;14),"th",CHOOSE(MOD(ABS(F25),10)+1,"th","st","nd","rd","th","th","th","th","th","th"))</f>
        <v>22nd</v>
      </c>
      <c r="H25" s="6">
        <f>VLOOKUP(F25,League_Points!$A$2:$B$61,2)</f>
        <v>29</v>
      </c>
      <c r="J25" s="24">
        <f>IF(LEN(B25)-LEN(SUBSTITUTE(B25,"&amp;",""))&gt;0,CONCATENATE(COUNTIF('League Results'!$D$5:$D$172,MID(B25,1,FIND(" &amp; ",B25)-1)),"-",COUNTIF('League Results'!$D$5:$D$172,MID(B25,FIND(" &amp; ",B25)+3,LEN(B25)))),COUNTIF('League Results'!$D$5:$D$172,B25))</f>
        <v>1</v>
      </c>
    </row>
    <row r="26" spans="2:10" ht="16" thickBot="1" x14ac:dyDescent="0.4">
      <c r="B26" s="5" t="s">
        <v>85</v>
      </c>
      <c r="C26" s="70">
        <v>730</v>
      </c>
      <c r="D26" s="1">
        <v>0</v>
      </c>
      <c r="E26" s="1">
        <f>C26-D26</f>
        <v>730</v>
      </c>
      <c r="F26" s="1">
        <f t="array" ref="F26">COUNTIF($E$4:$E$87,"&gt;"&amp;E26)+1+SUMPRODUCT(--($E$4:$E$87=E26),--($D$4:$D$87&lt;D26))</f>
        <v>22</v>
      </c>
      <c r="G26" s="1" t="str">
        <f>F26&amp;IF(AND(MOD(ABS(F26),100)&gt;10,MOD(ABS(F26),100)&lt;14),"th",CHOOSE(MOD(ABS(F26),10)+1,"th","st","nd","rd","th","th","th","th","th","th"))</f>
        <v>22nd</v>
      </c>
      <c r="H26" s="6">
        <f>VLOOKUP(F26,League_Points!$A$2:$B$61,2)</f>
        <v>29</v>
      </c>
      <c r="J26" s="24">
        <f>IF(LEN(B26)-LEN(SUBSTITUTE(B26,"&amp;",""))&gt;0,CONCATENATE(COUNTIF('League Results'!$D$5:$D$172,MID(B26,1,FIND(" &amp; ",B26)-1)),"-",COUNTIF('League Results'!$D$5:$D$172,MID(B26,FIND(" &amp; ",B26)+3,LEN(B26)))),COUNTIF('League Results'!$D$5:$D$172,B26))</f>
        <v>1</v>
      </c>
    </row>
    <row r="27" spans="2:10" ht="16" thickBot="1" x14ac:dyDescent="0.4">
      <c r="B27" s="5" t="s">
        <v>87</v>
      </c>
      <c r="C27" s="70">
        <v>760</v>
      </c>
      <c r="D27" s="1">
        <v>30</v>
      </c>
      <c r="E27" s="1">
        <f>C27-D27</f>
        <v>730</v>
      </c>
      <c r="F27" s="1">
        <f t="array" ref="F27">COUNTIF($E$4:$E$87,"&gt;"&amp;E27)+1+SUMPRODUCT(--($E$4:$E$87=E27),--($D$4:$D$87&lt;D27))</f>
        <v>24</v>
      </c>
      <c r="G27" s="1" t="str">
        <f>F27&amp;IF(AND(MOD(ABS(F27),100)&gt;10,MOD(ABS(F27),100)&lt;14),"th",CHOOSE(MOD(ABS(F27),10)+1,"th","st","nd","rd","th","th","th","th","th","th"))</f>
        <v>24th</v>
      </c>
      <c r="H27" s="6">
        <f>VLOOKUP(F27,League_Points!$A$2:$B$61,2)</f>
        <v>27</v>
      </c>
      <c r="J27" s="24">
        <f>IF(LEN(B27)-LEN(SUBSTITUTE(B27,"&amp;",""))&gt;0,CONCATENATE(COUNTIF('League Results'!$D$5:$D$172,MID(B27,1,FIND(" &amp; ",B27)-1)),"-",COUNTIF('League Results'!$D$5:$D$172,MID(B27,FIND(" &amp; ",B27)+3,LEN(B27)))),COUNTIF('League Results'!$D$5:$D$172,B27))</f>
        <v>1</v>
      </c>
    </row>
    <row r="28" spans="2:10" ht="16" thickBot="1" x14ac:dyDescent="0.4">
      <c r="B28" s="5" t="s">
        <v>127</v>
      </c>
      <c r="C28" s="70">
        <v>720</v>
      </c>
      <c r="D28" s="1">
        <v>0</v>
      </c>
      <c r="E28" s="1">
        <f>C28-D28</f>
        <v>720</v>
      </c>
      <c r="F28" s="1">
        <f t="array" ref="F28">COUNTIF($E$4:$E$87,"&gt;"&amp;E28)+1+SUMPRODUCT(--($E$4:$E$87=E28),--($D$4:$D$87&lt;D28))</f>
        <v>25</v>
      </c>
      <c r="G28" s="1" t="str">
        <f>F28&amp;IF(AND(MOD(ABS(F28),100)&gt;10,MOD(ABS(F28),100)&lt;14),"th",CHOOSE(MOD(ABS(F28),10)+1,"th","st","nd","rd","th","th","th","th","th","th"))</f>
        <v>25th</v>
      </c>
      <c r="H28" s="6">
        <f>VLOOKUP(F28,League_Points!$A$2:$B$61,2)</f>
        <v>26</v>
      </c>
      <c r="J28" s="24">
        <f>IF(LEN(B28)-LEN(SUBSTITUTE(B28,"&amp;",""))&gt;0,CONCATENATE(COUNTIF('League Results'!$D$5:$D$172,MID(B28,1,FIND(" &amp; ",B28)-1)),"-",COUNTIF('League Results'!$D$5:$D$172,MID(B28,FIND(" &amp; ",B28)+3,LEN(B28)))),COUNTIF('League Results'!$D$5:$D$172,B28))</f>
        <v>1</v>
      </c>
    </row>
    <row r="29" spans="2:10" ht="16" thickBot="1" x14ac:dyDescent="0.4">
      <c r="B29" s="5" t="s">
        <v>133</v>
      </c>
      <c r="C29" s="70">
        <v>720</v>
      </c>
      <c r="D29" s="1">
        <v>0</v>
      </c>
      <c r="E29" s="1">
        <f>C29-D29</f>
        <v>720</v>
      </c>
      <c r="F29" s="1">
        <f t="array" ref="F29">COUNTIF($E$4:$E$87,"&gt;"&amp;E29)+1+SUMPRODUCT(--($E$4:$E$87=E29),--($D$4:$D$87&lt;D29))</f>
        <v>25</v>
      </c>
      <c r="G29" s="1" t="str">
        <f>F29&amp;IF(AND(MOD(ABS(F29),100)&gt;10,MOD(ABS(F29),100)&lt;14),"th",CHOOSE(MOD(ABS(F29),10)+1,"th","st","nd","rd","th","th","th","th","th","th"))</f>
        <v>25th</v>
      </c>
      <c r="H29" s="6">
        <f>VLOOKUP(F29,League_Points!$A$2:$B$61,2)</f>
        <v>26</v>
      </c>
      <c r="J29" s="24">
        <f>IF(LEN(B29)-LEN(SUBSTITUTE(B29,"&amp;",""))&gt;0,CONCATENATE(COUNTIF('League Results'!$D$5:$D$172,MID(B29,1,FIND(" &amp; ",B29)-1)),"-",COUNTIF('League Results'!$D$5:$D$172,MID(B29,FIND(" &amp; ",B29)+3,LEN(B29)))),COUNTIF('League Results'!$D$5:$D$172,B29))</f>
        <v>1</v>
      </c>
    </row>
    <row r="30" spans="2:10" ht="16" thickBot="1" x14ac:dyDescent="0.4">
      <c r="B30" s="5" t="s">
        <v>18</v>
      </c>
      <c r="C30" s="70">
        <v>690</v>
      </c>
      <c r="D30" s="1">
        <v>0</v>
      </c>
      <c r="E30" s="1">
        <f>C30-D30</f>
        <v>690</v>
      </c>
      <c r="F30" s="1">
        <f t="array" ref="F30">COUNTIF($E$4:$E$87,"&gt;"&amp;E30)+1+SUMPRODUCT(--($E$4:$E$87=E30),--($D$4:$D$87&lt;D30))</f>
        <v>27</v>
      </c>
      <c r="G30" s="1" t="str">
        <f>F30&amp;IF(AND(MOD(ABS(F30),100)&gt;10,MOD(ABS(F30),100)&lt;14),"th",CHOOSE(MOD(ABS(F30),10)+1,"th","st","nd","rd","th","th","th","th","th","th"))</f>
        <v>27th</v>
      </c>
      <c r="H30" s="6">
        <f>VLOOKUP(F30,League_Points!$A$2:$B$61,2)</f>
        <v>24</v>
      </c>
      <c r="J30" s="24">
        <f>IF(LEN(B30)-LEN(SUBSTITUTE(B30,"&amp;",""))&gt;0,CONCATENATE(COUNTIF('League Results'!$D$5:$D$172,MID(B30,1,FIND(" &amp; ",B30)-1)),"-",COUNTIF('League Results'!$D$5:$D$172,MID(B30,FIND(" &amp; ",B30)+3,LEN(B30)))),COUNTIF('League Results'!$D$5:$D$172,B30))</f>
        <v>1</v>
      </c>
    </row>
    <row r="31" spans="2:10" ht="16" thickBot="1" x14ac:dyDescent="0.4">
      <c r="B31" s="5" t="s">
        <v>70</v>
      </c>
      <c r="C31" s="70">
        <v>650</v>
      </c>
      <c r="D31" s="1">
        <v>0</v>
      </c>
      <c r="E31" s="1">
        <f>C31-D31</f>
        <v>650</v>
      </c>
      <c r="F31" s="1">
        <f t="array" ref="F31">COUNTIF($E$4:$E$87,"&gt;"&amp;E31)+1+SUMPRODUCT(--($E$4:$E$87=E31),--($D$4:$D$87&lt;D31))</f>
        <v>28</v>
      </c>
      <c r="G31" s="1" t="str">
        <f>F31&amp;IF(AND(MOD(ABS(F31),100)&gt;10,MOD(ABS(F31),100)&lt;14),"th",CHOOSE(MOD(ABS(F31),10)+1,"th","st","nd","rd","th","th","th","th","th","th"))</f>
        <v>28th</v>
      </c>
      <c r="H31" s="6">
        <f>VLOOKUP(F31,League_Points!$A$2:$B$61,2)</f>
        <v>23</v>
      </c>
      <c r="J31" s="24">
        <f>IF(LEN(B31)-LEN(SUBSTITUTE(B31,"&amp;",""))&gt;0,CONCATENATE(COUNTIF('League Results'!$D$5:$D$172,MID(B31,1,FIND(" &amp; ",B31)-1)),"-",COUNTIF('League Results'!$D$5:$D$172,MID(B31,FIND(" &amp; ",B31)+3,LEN(B31)))),COUNTIF('League Results'!$D$5:$D$172,B31))</f>
        <v>1</v>
      </c>
    </row>
    <row r="32" spans="2:10" ht="16" thickBot="1" x14ac:dyDescent="0.4">
      <c r="B32" s="5" t="s">
        <v>128</v>
      </c>
      <c r="C32" s="70">
        <v>640</v>
      </c>
      <c r="D32" s="1">
        <v>0</v>
      </c>
      <c r="E32" s="1">
        <f>C32-D32</f>
        <v>640</v>
      </c>
      <c r="F32" s="1">
        <f t="array" ref="F32">COUNTIF($E$4:$E$87,"&gt;"&amp;E32)+1+SUMPRODUCT(--($E$4:$E$87=E32),--($D$4:$D$87&lt;D32))</f>
        <v>29</v>
      </c>
      <c r="G32" s="1" t="str">
        <f>F32&amp;IF(AND(MOD(ABS(F32),100)&gt;10,MOD(ABS(F32),100)&lt;14),"th",CHOOSE(MOD(ABS(F32),10)+1,"th","st","nd","rd","th","th","th","th","th","th"))</f>
        <v>29th</v>
      </c>
      <c r="H32" s="6">
        <f>VLOOKUP(F32,League_Points!$A$2:$B$61,2)</f>
        <v>22</v>
      </c>
      <c r="J32" s="24">
        <f>IF(LEN(B32)-LEN(SUBSTITUTE(B32,"&amp;",""))&gt;0,CONCATENATE(COUNTIF('League Results'!$D$5:$D$172,MID(B32,1,FIND(" &amp; ",B32)-1)),"-",COUNTIF('League Results'!$D$5:$D$172,MID(B32,FIND(" &amp; ",B32)+3,LEN(B32)))),COUNTIF('League Results'!$D$5:$D$172,B32))</f>
        <v>1</v>
      </c>
    </row>
    <row r="33" spans="2:10" ht="16" thickBot="1" x14ac:dyDescent="0.4">
      <c r="B33" s="5" t="s">
        <v>129</v>
      </c>
      <c r="C33" s="70">
        <v>650</v>
      </c>
      <c r="D33" s="1">
        <v>30</v>
      </c>
      <c r="E33" s="1">
        <f>C33-D33</f>
        <v>620</v>
      </c>
      <c r="F33" s="1">
        <f t="array" ref="F33">COUNTIF($E$4:$E$87,"&gt;"&amp;E33)+1+SUMPRODUCT(--($E$4:$E$87=E33),--($D$4:$D$87&lt;D33))</f>
        <v>30</v>
      </c>
      <c r="G33" s="1" t="str">
        <f>F33&amp;IF(AND(MOD(ABS(F33),100)&gt;10,MOD(ABS(F33),100)&lt;14),"th",CHOOSE(MOD(ABS(F33),10)+1,"th","st","nd","rd","th","th","th","th","th","th"))</f>
        <v>30th</v>
      </c>
      <c r="H33" s="6">
        <f>VLOOKUP(F33,League_Points!$A$2:$B$61,2)</f>
        <v>21</v>
      </c>
      <c r="J33" s="24">
        <f>IF(LEN(B33)-LEN(SUBSTITUTE(B33,"&amp;",""))&gt;0,CONCATENATE(COUNTIF('League Results'!$D$5:$D$172,MID(B33,1,FIND(" &amp; ",B33)-1)),"-",COUNTIF('League Results'!$D$5:$D$172,MID(B33,FIND(" &amp; ",B33)+3,LEN(B33)))),COUNTIF('League Results'!$D$5:$D$172,B33))</f>
        <v>1</v>
      </c>
    </row>
    <row r="34" spans="2:10" ht="16" thickBot="1" x14ac:dyDescent="0.4">
      <c r="B34" s="5" t="s">
        <v>17</v>
      </c>
      <c r="C34" s="70">
        <v>600</v>
      </c>
      <c r="D34" s="1">
        <v>0</v>
      </c>
      <c r="E34" s="1">
        <f>C34-D34</f>
        <v>600</v>
      </c>
      <c r="F34" s="1">
        <f t="array" ref="F34">COUNTIF($E$4:$E$87,"&gt;"&amp;E34)+1+SUMPRODUCT(--($E$4:$E$87=E34),--($D$4:$D$87&lt;D34))</f>
        <v>31</v>
      </c>
      <c r="G34" s="1" t="str">
        <f>F34&amp;IF(AND(MOD(ABS(F34),100)&gt;10,MOD(ABS(F34),100)&lt;14),"th",CHOOSE(MOD(ABS(F34),10)+1,"th","st","nd","rd","th","th","th","th","th","th"))</f>
        <v>31st</v>
      </c>
      <c r="H34" s="6">
        <f>VLOOKUP(F34,League_Points!$A$2:$B$61,2)</f>
        <v>20</v>
      </c>
      <c r="J34" s="24">
        <f>IF(LEN(B34)-LEN(SUBSTITUTE(B34,"&amp;",""))&gt;0,CONCATENATE(COUNTIF('League Results'!$D$5:$D$172,MID(B34,1,FIND(" &amp; ",B34)-1)),"-",COUNTIF('League Results'!$D$5:$D$172,MID(B34,FIND(" &amp; ",B34)+3,LEN(B34)))),COUNTIF('League Results'!$D$5:$D$172,B34))</f>
        <v>1</v>
      </c>
    </row>
    <row r="35" spans="2:10" ht="16" thickBot="1" x14ac:dyDescent="0.4">
      <c r="B35" s="5" t="s">
        <v>29</v>
      </c>
      <c r="C35" s="70">
        <v>600</v>
      </c>
      <c r="D35" s="1">
        <v>0</v>
      </c>
      <c r="E35" s="1">
        <f>C35-D35</f>
        <v>600</v>
      </c>
      <c r="F35" s="1">
        <f t="array" ref="F35">COUNTIF($E$4:$E$87,"&gt;"&amp;E35)+1+SUMPRODUCT(--($E$4:$E$87=E35),--($D$4:$D$87&lt;D35))</f>
        <v>31</v>
      </c>
      <c r="G35" s="1" t="str">
        <f>F35&amp;IF(AND(MOD(ABS(F35),100)&gt;10,MOD(ABS(F35),100)&lt;14),"th",CHOOSE(MOD(ABS(F35),10)+1,"th","st","nd","rd","th","th","th","th","th","th"))</f>
        <v>31st</v>
      </c>
      <c r="H35" s="6">
        <f>VLOOKUP(F35,League_Points!$A$2:$B$61,2)</f>
        <v>20</v>
      </c>
      <c r="J35" s="24">
        <f>IF(LEN(B35)-LEN(SUBSTITUTE(B35,"&amp;",""))&gt;0,CONCATENATE(COUNTIF('League Results'!$D$5:$D$172,MID(B35,1,FIND(" &amp; ",B35)-1)),"-",COUNTIF('League Results'!$D$5:$D$172,MID(B35,FIND(" &amp; ",B35)+3,LEN(B35)))),COUNTIF('League Results'!$D$5:$D$172,B35))</f>
        <v>1</v>
      </c>
    </row>
    <row r="36" spans="2:10" ht="16" thickBot="1" x14ac:dyDescent="0.4">
      <c r="B36" s="5" t="s">
        <v>16</v>
      </c>
      <c r="C36" s="70">
        <v>560</v>
      </c>
      <c r="D36" s="1">
        <v>0</v>
      </c>
      <c r="E36" s="1">
        <f>C36-D36</f>
        <v>560</v>
      </c>
      <c r="F36" s="1">
        <f t="array" ref="F36">COUNTIF($E$4:$E$87,"&gt;"&amp;E36)+1+SUMPRODUCT(--($E$4:$E$87=E36),--($D$4:$D$87&lt;D36))</f>
        <v>33</v>
      </c>
      <c r="G36" s="1" t="str">
        <f>F36&amp;IF(AND(MOD(ABS(F36),100)&gt;10,MOD(ABS(F36),100)&lt;14),"th",CHOOSE(MOD(ABS(F36),10)+1,"th","st","nd","rd","th","th","th","th","th","th"))</f>
        <v>33rd</v>
      </c>
      <c r="H36" s="6">
        <f>VLOOKUP(F36,League_Points!$A$2:$B$61,2)</f>
        <v>18</v>
      </c>
      <c r="J36" s="24">
        <f>IF(LEN(B36)-LEN(SUBSTITUTE(B36,"&amp;",""))&gt;0,CONCATENATE(COUNTIF('League Results'!$D$5:$D$172,MID(B36,1,FIND(" &amp; ",B36)-1)),"-",COUNTIF('League Results'!$D$5:$D$172,MID(B36,FIND(" &amp; ",B36)+3,LEN(B36)))),COUNTIF('League Results'!$D$5:$D$172,B36))</f>
        <v>1</v>
      </c>
    </row>
    <row r="37" spans="2:10" ht="16" thickBot="1" x14ac:dyDescent="0.4">
      <c r="B37" s="5" t="s">
        <v>19</v>
      </c>
      <c r="C37" s="70">
        <v>550</v>
      </c>
      <c r="D37" s="1">
        <v>0</v>
      </c>
      <c r="E37" s="1">
        <f>C37-D37</f>
        <v>550</v>
      </c>
      <c r="F37" s="1">
        <f t="array" ref="F37">COUNTIF($E$4:$E$87,"&gt;"&amp;E37)+1+SUMPRODUCT(--($E$4:$E$87=E37),--($D$4:$D$87&lt;D37))</f>
        <v>34</v>
      </c>
      <c r="G37" s="1" t="str">
        <f>F37&amp;IF(AND(MOD(ABS(F37),100)&gt;10,MOD(ABS(F37),100)&lt;14),"th",CHOOSE(MOD(ABS(F37),10)+1,"th","st","nd","rd","th","th","th","th","th","th"))</f>
        <v>34th</v>
      </c>
      <c r="H37" s="6">
        <f>VLOOKUP(F37,League_Points!$A$2:$B$61,2)</f>
        <v>17</v>
      </c>
      <c r="J37" s="24">
        <f>IF(LEN(B37)-LEN(SUBSTITUTE(B37,"&amp;",""))&gt;0,CONCATENATE(COUNTIF('League Results'!$D$5:$D$172,MID(B37,1,FIND(" &amp; ",B37)-1)),"-",COUNTIF('League Results'!$D$5:$D$172,MID(B37,FIND(" &amp; ",B37)+3,LEN(B37)))),COUNTIF('League Results'!$D$5:$D$172,B37))</f>
        <v>1</v>
      </c>
    </row>
    <row r="38" spans="2:10" ht="16" thickBot="1" x14ac:dyDescent="0.4">
      <c r="B38" s="5" t="s">
        <v>20</v>
      </c>
      <c r="C38" s="70">
        <v>550</v>
      </c>
      <c r="D38" s="1">
        <v>0</v>
      </c>
      <c r="E38" s="1">
        <f>C38-D38</f>
        <v>550</v>
      </c>
      <c r="F38" s="1">
        <f t="array" ref="F38">COUNTIF($E$4:$E$87,"&gt;"&amp;E38)+1+SUMPRODUCT(--($E$4:$E$87=E38),--($D$4:$D$87&lt;D38))</f>
        <v>34</v>
      </c>
      <c r="G38" s="1" t="str">
        <f>F38&amp;IF(AND(MOD(ABS(F38),100)&gt;10,MOD(ABS(F38),100)&lt;14),"th",CHOOSE(MOD(ABS(F38),10)+1,"th","st","nd","rd","th","th","th","th","th","th"))</f>
        <v>34th</v>
      </c>
      <c r="H38" s="6">
        <f>VLOOKUP(F38,League_Points!$A$2:$B$61,2)</f>
        <v>17</v>
      </c>
      <c r="J38" s="24">
        <f>IF(LEN(B38)-LEN(SUBSTITUTE(B38,"&amp;",""))&gt;0,CONCATENATE(COUNTIF('League Results'!$D$5:$D$172,MID(B38,1,FIND(" &amp; ",B38)-1)),"-",COUNTIF('League Results'!$D$5:$D$172,MID(B38,FIND(" &amp; ",B38)+3,LEN(B38)))),COUNTIF('League Results'!$D$5:$D$172,B38))</f>
        <v>1</v>
      </c>
    </row>
    <row r="39" spans="2:10" ht="16" thickBot="1" x14ac:dyDescent="0.4">
      <c r="B39" s="5" t="s">
        <v>31</v>
      </c>
      <c r="C39" s="70">
        <v>510</v>
      </c>
      <c r="D39" s="1">
        <v>0</v>
      </c>
      <c r="E39" s="1">
        <f>C39-D39</f>
        <v>510</v>
      </c>
      <c r="F39" s="1">
        <f t="array" ref="F39">COUNTIF($E$4:$E$87,"&gt;"&amp;E39)+1+SUMPRODUCT(--($E$4:$E$87=E39),--($D$4:$D$87&lt;D39))</f>
        <v>36</v>
      </c>
      <c r="G39" s="1" t="str">
        <f>F39&amp;IF(AND(MOD(ABS(F39),100)&gt;10,MOD(ABS(F39),100)&lt;14),"th",CHOOSE(MOD(ABS(F39),10)+1,"th","st","nd","rd","th","th","th","th","th","th"))</f>
        <v>36th</v>
      </c>
      <c r="H39" s="6">
        <f>VLOOKUP(F39,League_Points!$A$2:$B$61,2)</f>
        <v>15</v>
      </c>
      <c r="J39" s="24">
        <f>IF(LEN(B39)-LEN(SUBSTITUTE(B39,"&amp;",""))&gt;0,CONCATENATE(COUNTIF('League Results'!$D$5:$D$172,MID(B39,1,FIND(" &amp; ",B39)-1)),"-",COUNTIF('League Results'!$D$5:$D$172,MID(B39,FIND(" &amp; ",B39)+3,LEN(B39)))),COUNTIF('League Results'!$D$5:$D$172,B39))</f>
        <v>1</v>
      </c>
    </row>
    <row r="40" spans="2:10" ht="16" thickBot="1" x14ac:dyDescent="0.4">
      <c r="B40" s="5" t="s">
        <v>65</v>
      </c>
      <c r="C40" s="70">
        <v>500</v>
      </c>
      <c r="D40" s="1">
        <v>0</v>
      </c>
      <c r="E40" s="1">
        <f>C40-D40</f>
        <v>500</v>
      </c>
      <c r="F40" s="1">
        <f t="array" ref="F40">COUNTIF($E$4:$E$87,"&gt;"&amp;E40)+1+SUMPRODUCT(--($E$4:$E$87=E40),--($D$4:$D$87&lt;D40))</f>
        <v>37</v>
      </c>
      <c r="G40" s="1" t="str">
        <f>F40&amp;IF(AND(MOD(ABS(F40),100)&gt;10,MOD(ABS(F40),100)&lt;14),"th",CHOOSE(MOD(ABS(F40),10)+1,"th","st","nd","rd","th","th","th","th","th","th"))</f>
        <v>37th</v>
      </c>
      <c r="H40" s="6">
        <f>VLOOKUP(F40,League_Points!$A$2:$B$61,2)</f>
        <v>14</v>
      </c>
      <c r="J40" s="24">
        <f>IF(LEN(B40)-LEN(SUBSTITUTE(B40,"&amp;",""))&gt;0,CONCATENATE(COUNTIF('League Results'!$D$5:$D$172,MID(B40,1,FIND(" &amp; ",B40)-1)),"-",COUNTIF('League Results'!$D$5:$D$172,MID(B40,FIND(" &amp; ",B40)+3,LEN(B40)))),COUNTIF('League Results'!$D$5:$D$172,B40))</f>
        <v>1</v>
      </c>
    </row>
    <row r="41" spans="2:10" ht="16" thickBot="1" x14ac:dyDescent="0.4">
      <c r="B41" s="5" t="s">
        <v>30</v>
      </c>
      <c r="C41" s="70">
        <v>490</v>
      </c>
      <c r="D41" s="1">
        <v>0</v>
      </c>
      <c r="E41" s="1">
        <f>C41-D41</f>
        <v>490</v>
      </c>
      <c r="F41" s="1">
        <f t="array" ref="F41">COUNTIF($E$4:$E$87,"&gt;"&amp;E41)+1+SUMPRODUCT(--($E$4:$E$87=E41),--($D$4:$D$87&lt;D41))</f>
        <v>38</v>
      </c>
      <c r="G41" s="1" t="str">
        <f>F41&amp;IF(AND(MOD(ABS(F41),100)&gt;10,MOD(ABS(F41),100)&lt;14),"th",CHOOSE(MOD(ABS(F41),10)+1,"th","st","nd","rd","th","th","th","th","th","th"))</f>
        <v>38th</v>
      </c>
      <c r="H41" s="6">
        <f>VLOOKUP(F41,League_Points!$A$2:$B$61,2)</f>
        <v>13</v>
      </c>
      <c r="J41" s="24">
        <f>IF(LEN(B41)-LEN(SUBSTITUTE(B41,"&amp;",""))&gt;0,CONCATENATE(COUNTIF('League Results'!$D$5:$D$172,MID(B41,1,FIND(" &amp; ",B41)-1)),"-",COUNTIF('League Results'!$D$5:$D$172,MID(B41,FIND(" &amp; ",B41)+3,LEN(B41)))),COUNTIF('League Results'!$D$5:$D$172,B41))</f>
        <v>1</v>
      </c>
    </row>
    <row r="42" spans="2:10" ht="16" thickBot="1" x14ac:dyDescent="0.4">
      <c r="B42" s="5" t="s">
        <v>15</v>
      </c>
      <c r="C42" s="70">
        <v>390</v>
      </c>
      <c r="D42" s="1">
        <v>0</v>
      </c>
      <c r="E42" s="1">
        <f>C42-D42</f>
        <v>390</v>
      </c>
      <c r="F42" s="1">
        <f t="array" ref="F42">COUNTIF($E$4:$E$87,"&gt;"&amp;E42)+1+SUMPRODUCT(--($E$4:$E$87=E42),--($D$4:$D$87&lt;D42))</f>
        <v>39</v>
      </c>
      <c r="G42" s="1" t="str">
        <f>F42&amp;IF(AND(MOD(ABS(F42),100)&gt;10,MOD(ABS(F42),100)&lt;14),"th",CHOOSE(MOD(ABS(F42),10)+1,"th","st","nd","rd","th","th","th","th","th","th"))</f>
        <v>39th</v>
      </c>
      <c r="H42" s="6">
        <f>VLOOKUP(F42,League_Points!$A$2:$B$61,2)</f>
        <v>12</v>
      </c>
      <c r="J42" s="24">
        <f>IF(LEN(B42)-LEN(SUBSTITUTE(B42,"&amp;",""))&gt;0,CONCATENATE(COUNTIF('League Results'!$D$5:$D$172,MID(B42,1,FIND(" &amp; ",B42)-1)),"-",COUNTIF('League Results'!$D$5:$D$172,MID(B42,FIND(" &amp; ",B42)+3,LEN(B42)))),COUNTIF('League Results'!$D$5:$D$172,B42))</f>
        <v>1</v>
      </c>
    </row>
    <row r="43" spans="2:10" ht="16" thickBot="1" x14ac:dyDescent="0.4">
      <c r="B43" s="5" t="s">
        <v>90</v>
      </c>
      <c r="C43" s="70">
        <v>390</v>
      </c>
      <c r="D43" s="1">
        <v>0</v>
      </c>
      <c r="E43" s="1">
        <f>C43-D43</f>
        <v>390</v>
      </c>
      <c r="F43" s="1">
        <f t="array" ref="F43">COUNTIF($E$4:$E$87,"&gt;"&amp;E43)+1+SUMPRODUCT(--($E$4:$E$87=E43),--($D$4:$D$87&lt;D43))</f>
        <v>39</v>
      </c>
      <c r="G43" s="1" t="str">
        <f>F43&amp;IF(AND(MOD(ABS(F43),100)&gt;10,MOD(ABS(F43),100)&lt;14),"th",CHOOSE(MOD(ABS(F43),10)+1,"th","st","nd","rd","th","th","th","th","th","th"))</f>
        <v>39th</v>
      </c>
      <c r="H43" s="6">
        <f>VLOOKUP(F43,League_Points!$A$2:$B$61,2)</f>
        <v>12</v>
      </c>
      <c r="J43" s="24">
        <f>IF(LEN(B43)-LEN(SUBSTITUTE(B43,"&amp;",""))&gt;0,CONCATENATE(COUNTIF('League Results'!$D$5:$D$172,MID(B43,1,FIND(" &amp; ",B43)-1)),"-",COUNTIF('League Results'!$D$5:$D$172,MID(B43,FIND(" &amp; ",B43)+3,LEN(B43)))),COUNTIF('League Results'!$D$5:$D$172,B43))</f>
        <v>1</v>
      </c>
    </row>
    <row r="44" spans="2:10" ht="16" thickBot="1" x14ac:dyDescent="0.4">
      <c r="B44" s="5" t="s">
        <v>111</v>
      </c>
      <c r="C44" s="70">
        <v>390</v>
      </c>
      <c r="D44" s="1">
        <v>0</v>
      </c>
      <c r="E44" s="1">
        <f>C44-D44</f>
        <v>390</v>
      </c>
      <c r="F44" s="1">
        <f t="array" ref="F44">COUNTIF($E$4:$E$87,"&gt;"&amp;E44)+1+SUMPRODUCT(--($E$4:$E$87=E44),--($D$4:$D$87&lt;D44))</f>
        <v>39</v>
      </c>
      <c r="G44" s="1" t="str">
        <f>F44&amp;IF(AND(MOD(ABS(F44),100)&gt;10,MOD(ABS(F44),100)&lt;14),"th",CHOOSE(MOD(ABS(F44),10)+1,"th","st","nd","rd","th","th","th","th","th","th"))</f>
        <v>39th</v>
      </c>
      <c r="H44" s="6">
        <f>VLOOKUP(F44,League_Points!$A$2:$B$61,2)</f>
        <v>12</v>
      </c>
      <c r="J44" s="24">
        <f>IF(LEN(B44)-LEN(SUBSTITUTE(B44,"&amp;",""))&gt;0,CONCATENATE(COUNTIF('League Results'!$D$5:$D$172,MID(B44,1,FIND(" &amp; ",B44)-1)),"-",COUNTIF('League Results'!$D$5:$D$172,MID(B44,FIND(" &amp; ",B44)+3,LEN(B44)))),COUNTIF('League Results'!$D$5:$D$172,B44))</f>
        <v>1</v>
      </c>
    </row>
    <row r="45" spans="2:10" ht="16" thickBot="1" x14ac:dyDescent="0.4">
      <c r="B45" s="5" t="s">
        <v>66</v>
      </c>
      <c r="C45" s="70">
        <v>480</v>
      </c>
      <c r="D45" s="1">
        <v>90</v>
      </c>
      <c r="E45" s="1">
        <f>C45-D45</f>
        <v>390</v>
      </c>
      <c r="F45" s="1">
        <f t="array" ref="F45">COUNTIF($E$4:$E$87,"&gt;"&amp;E45)+1+SUMPRODUCT(--($E$4:$E$87=E45),--($D$4:$D$87&lt;D45))</f>
        <v>42</v>
      </c>
      <c r="G45" s="1" t="str">
        <f>F45&amp;IF(AND(MOD(ABS(F45),100)&gt;10,MOD(ABS(F45),100)&lt;14),"th",CHOOSE(MOD(ABS(F45),10)+1,"th","st","nd","rd","th","th","th","th","th","th"))</f>
        <v>42nd</v>
      </c>
      <c r="H45" s="6">
        <f>VLOOKUP(F45,League_Points!$A$2:$B$61,2)</f>
        <v>9</v>
      </c>
      <c r="J45" s="24">
        <f>IF(LEN(B45)-LEN(SUBSTITUTE(B45,"&amp;",""))&gt;0,CONCATENATE(COUNTIF('League Results'!$D$5:$D$172,MID(B45,1,FIND(" &amp; ",B45)-1)),"-",COUNTIF('League Results'!$D$5:$D$172,MID(B45,FIND(" &amp; ",B45)+3,LEN(B45)))),COUNTIF('League Results'!$D$5:$D$172,B45))</f>
        <v>1</v>
      </c>
    </row>
    <row r="46" spans="2:10" ht="16" thickBot="1" x14ac:dyDescent="0.4">
      <c r="B46" s="5" t="s">
        <v>21</v>
      </c>
      <c r="C46" s="70">
        <v>370</v>
      </c>
      <c r="D46" s="1">
        <v>0</v>
      </c>
      <c r="E46" s="1">
        <f>C46-D46</f>
        <v>370</v>
      </c>
      <c r="F46" s="1">
        <f t="array" ref="F46">COUNTIF($E$4:$E$87,"&gt;"&amp;E46)+1+SUMPRODUCT(--($E$4:$E$87=E46),--($D$4:$D$87&lt;D46))</f>
        <v>43</v>
      </c>
      <c r="G46" s="1" t="str">
        <f>F46&amp;IF(AND(MOD(ABS(F46),100)&gt;10,MOD(ABS(F46),100)&lt;14),"th",CHOOSE(MOD(ABS(F46),10)+1,"th","st","nd","rd","th","th","th","th","th","th"))</f>
        <v>43rd</v>
      </c>
      <c r="H46" s="6">
        <f>VLOOKUP(F46,League_Points!$A$2:$B$61,2)</f>
        <v>8</v>
      </c>
      <c r="J46" s="24">
        <f>IF(LEN(B46)-LEN(SUBSTITUTE(B46,"&amp;",""))&gt;0,CONCATENATE(COUNTIF('League Results'!$D$5:$D$172,MID(B46,1,FIND(" &amp; ",B46)-1)),"-",COUNTIF('League Results'!$D$5:$D$172,MID(B46,FIND(" &amp; ",B46)+3,LEN(B46)))),COUNTIF('League Results'!$D$5:$D$172,B46))</f>
        <v>1</v>
      </c>
    </row>
    <row r="47" spans="2:10" ht="16" thickBot="1" x14ac:dyDescent="0.4">
      <c r="B47" s="5" t="s">
        <v>110</v>
      </c>
      <c r="C47" s="70">
        <v>460</v>
      </c>
      <c r="D47" s="1">
        <v>180</v>
      </c>
      <c r="E47" s="1">
        <f>C47-D47</f>
        <v>280</v>
      </c>
      <c r="F47" s="1">
        <f t="array" ref="F47">COUNTIF($E$4:$E$87,"&gt;"&amp;E47)+1+SUMPRODUCT(--($E$4:$E$87=E47),--($D$4:$D$87&lt;D47))</f>
        <v>44</v>
      </c>
      <c r="G47" s="1" t="str">
        <f>F47&amp;IF(AND(MOD(ABS(F47),100)&gt;10,MOD(ABS(F47),100)&lt;14),"th",CHOOSE(MOD(ABS(F47),10)+1,"th","st","nd","rd","th","th","th","th","th","th"))</f>
        <v>44th</v>
      </c>
      <c r="H47" s="6">
        <f>VLOOKUP(F47,League_Points!$A$2:$B$61,2)</f>
        <v>7</v>
      </c>
      <c r="J47" s="24">
        <f>IF(LEN(B47)-LEN(SUBSTITUTE(B47,"&amp;",""))&gt;0,CONCATENATE(COUNTIF('League Results'!$D$5:$D$172,MID(B47,1,FIND(" &amp; ",B47)-1)),"-",COUNTIF('League Results'!$D$5:$D$172,MID(B47,FIND(" &amp; ",B47)+3,LEN(B47)))),COUNTIF('League Results'!$D$5:$D$172,B47))</f>
        <v>1</v>
      </c>
    </row>
    <row r="48" spans="2:10" ht="16" thickBot="1" x14ac:dyDescent="0.4">
      <c r="B48" s="5" t="s">
        <v>96</v>
      </c>
      <c r="C48" s="70">
        <v>270</v>
      </c>
      <c r="D48" s="1">
        <v>60</v>
      </c>
      <c r="E48" s="1">
        <f>C48-D48</f>
        <v>210</v>
      </c>
      <c r="F48" s="1">
        <f t="array" ref="F48">COUNTIF($E$4:$E$87,"&gt;"&amp;E48)+1+SUMPRODUCT(--($E$4:$E$87=E48),--($D$4:$D$87&lt;D48))</f>
        <v>45</v>
      </c>
      <c r="G48" s="1" t="str">
        <f>F48&amp;IF(AND(MOD(ABS(F48),100)&gt;10,MOD(ABS(F48),100)&lt;14),"th",CHOOSE(MOD(ABS(F48),10)+1,"th","st","nd","rd","th","th","th","th","th","th"))</f>
        <v>45th</v>
      </c>
      <c r="H48" s="6">
        <f>VLOOKUP(F48,League_Points!$A$2:$B$61,2)</f>
        <v>6</v>
      </c>
      <c r="J48" s="24">
        <f>IF(LEN(B48)-LEN(SUBSTITUTE(B48,"&amp;",""))&gt;0,CONCATENATE(COUNTIF('League Results'!$D$5:$D$172,MID(B48,1,FIND(" &amp; ",B48)-1)),"-",COUNTIF('League Results'!$D$5:$D$172,MID(B48,FIND(" &amp; ",B48)+3,LEN(B48)))),COUNTIF('League Results'!$D$5:$D$172,B48))</f>
        <v>1</v>
      </c>
    </row>
    <row r="49" spans="2:10" x14ac:dyDescent="0.35">
      <c r="B49" s="5" t="s">
        <v>84</v>
      </c>
      <c r="C49" s="71">
        <v>0</v>
      </c>
      <c r="D49" s="1">
        <v>0</v>
      </c>
      <c r="E49" s="1">
        <f>C49-D49</f>
        <v>0</v>
      </c>
      <c r="F49" s="1">
        <f t="array" ref="F49">COUNTIF($E$4:$E$87,"&gt;"&amp;E49)+1+SUMPRODUCT(--($E$4:$E$87=E49),--($D$4:$D$87&lt;D49))</f>
        <v>46</v>
      </c>
      <c r="G49" s="1" t="str">
        <f>F49&amp;IF(AND(MOD(ABS(F49),100)&gt;10,MOD(ABS(F49),100)&lt;14),"th",CHOOSE(MOD(ABS(F49),10)+1,"th","st","nd","rd","th","th","th","th","th","th"))</f>
        <v>46th</v>
      </c>
      <c r="H49" s="6">
        <f>VLOOKUP(F49,League_Points!$A$2:$B$61,2)</f>
        <v>5</v>
      </c>
      <c r="J49" s="24">
        <f>IF(LEN(B49)-LEN(SUBSTITUTE(B49,"&amp;",""))&gt;0,CONCATENATE(COUNTIF('League Results'!$D$5:$D$172,MID(B49,1,FIND(" &amp; ",B49)-1)),"-",COUNTIF('League Results'!$D$5:$D$172,MID(B49,FIND(" &amp; ",B49)+3,LEN(B49)))),COUNTIF('League Results'!$D$5:$D$172,B49))</f>
        <v>1</v>
      </c>
    </row>
    <row r="50" spans="2:10" ht="16" thickBot="1" x14ac:dyDescent="0.4">
      <c r="B50" s="7" t="s">
        <v>64</v>
      </c>
      <c r="C50" s="8" t="s">
        <v>22</v>
      </c>
      <c r="D50" s="8"/>
      <c r="E50" s="8"/>
      <c r="F50" s="8"/>
      <c r="G50" s="8"/>
      <c r="H50" s="9" t="s">
        <v>23</v>
      </c>
      <c r="J50" s="23">
        <f>IF(LEN(B50)-LEN(SUBSTITUTE(B50,"&amp;",""))&gt;0,CONCATENATE(COUNTIF('League Results'!$D$5:$D$64,MID(B50,1,FIND(" &amp; ",B50)-1)),"-",COUNTIF('League Results'!$D$5:$D$64,MID(B50,FIND(" &amp; ",B50)+3,LEN(B50)))),COUNTIF('League Results'!$D$5:$D$64,B50))</f>
        <v>1</v>
      </c>
    </row>
    <row r="52" spans="2:10" ht="71.25" customHeight="1" x14ac:dyDescent="0.35">
      <c r="B52" s="62" t="s">
        <v>24</v>
      </c>
      <c r="C52" s="62"/>
      <c r="D52" s="62"/>
      <c r="E52" s="62"/>
      <c r="F52" s="62"/>
      <c r="G52" s="62"/>
      <c r="H52" s="62"/>
    </row>
    <row r="54" spans="2:10" ht="64" customHeight="1" x14ac:dyDescent="0.35">
      <c r="B54" s="62" t="s">
        <v>25</v>
      </c>
      <c r="C54" s="62"/>
      <c r="D54" s="62"/>
      <c r="E54" s="62"/>
      <c r="F54" s="62"/>
      <c r="G54" s="62"/>
      <c r="H54" s="62"/>
    </row>
  </sheetData>
  <autoFilter ref="B3:H50" xr:uid="{00000000-0009-0000-0000-000002000000}">
    <sortState xmlns:xlrd2="http://schemas.microsoft.com/office/spreadsheetml/2017/richdata2" ref="B4:H50">
      <sortCondition descending="1" ref="E3:E50"/>
    </sortState>
  </autoFilter>
  <mergeCells count="3">
    <mergeCell ref="B2:H2"/>
    <mergeCell ref="B52:H52"/>
    <mergeCell ref="B54:H54"/>
  </mergeCells>
  <conditionalFormatting sqref="J4:J50">
    <cfRule type="expression" dxfId="0" priority="4">
      <formula>AND($J4&lt;&gt;1,$J4&lt;&gt;"1-1")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autoPageBreaks="0" fitToPage="1"/>
  </sheetPr>
  <dimension ref="B1:J27"/>
  <sheetViews>
    <sheetView workbookViewId="0">
      <selection activeCell="B12" sqref="B12"/>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Chessington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x14ac:dyDescent="0.35">
      <c r="B4" s="2"/>
      <c r="C4" s="3">
        <v>760</v>
      </c>
      <c r="D4" s="3"/>
      <c r="E4" s="3">
        <f t="shared" ref="E4:E22" si="0">C4-D4</f>
        <v>760</v>
      </c>
      <c r="F4" s="3">
        <f t="array" ref="F4">COUNTIF($E$4:$E$60,"&gt;"&amp;E4)+1+SUMPRODUCT(--($E$4:$E$60=E4),--($D$4:$D$60&lt;D4))</f>
        <v>1</v>
      </c>
      <c r="G4" s="3" t="str">
        <f t="shared" ref="G4:G22" si="1">F4&amp;IF(AND(MOD(ABS(F4),100)&gt;10,MOD(ABS(F4),100)&lt;14),"th",CHOOSE(MOD(ABS(F4),10)+1,"th","st","nd","rd","th","th","th","th","th","th"))</f>
        <v>1st</v>
      </c>
      <c r="H4" s="4">
        <f>VLOOKUP(F4,League_Points!$A$2:$B$61,2)</f>
        <v>50</v>
      </c>
      <c r="J4" s="24">
        <f>IF(LEN(B4)-LEN(SUBSTITUTE(B4,"&amp;",""))&gt;0,CONCATENATE(COUNTIF('League Results'!$D$5:$D$64,MID(B4,1,FIND(" &amp; ",B4)-1)),"-",COUNTIF('League Results'!$D$5:$D$64,MID(B4,FIND(" &amp; ",B4)+3,LEN(B4)))),COUNTIF('League Results'!$D$5:$D$64,B4))</f>
        <v>0</v>
      </c>
    </row>
    <row r="5" spans="2:10" x14ac:dyDescent="0.35">
      <c r="B5" s="5"/>
      <c r="C5" s="1">
        <v>690</v>
      </c>
      <c r="D5" s="1">
        <v>30</v>
      </c>
      <c r="E5" s="1">
        <f t="shared" si="0"/>
        <v>660</v>
      </c>
      <c r="F5" s="1">
        <f t="array" ref="F5">COUNTIF($E$4:$E$60,"&gt;"&amp;E5)+1+SUMPRODUCT(--($E$4:$E$60=E5),--($D$4:$D$60&lt;D5))</f>
        <v>2</v>
      </c>
      <c r="G5" s="1" t="str">
        <f t="shared" si="1"/>
        <v>2nd</v>
      </c>
      <c r="H5" s="6">
        <f>VLOOKUP(F5,League_Points!$A$2:$B$61,2)</f>
        <v>49</v>
      </c>
      <c r="J5" s="22">
        <f>IF(LEN(B5)-LEN(SUBSTITUTE(B5,"&amp;",""))&gt;0,CONCATENATE(COUNTIF('League Results'!$D$5:$D$64,MID(B5,1,FIND(" &amp; ",B5)-1)),"-",COUNTIF('League Results'!$D$5:$D$64,MID(B5,FIND(" &amp; ",B5)+3,LEN(B5)))),COUNTIF('League Results'!$D$5:$D$64,B5))</f>
        <v>0</v>
      </c>
    </row>
    <row r="6" spans="2:10" x14ac:dyDescent="0.35">
      <c r="B6" s="5"/>
      <c r="C6" s="1">
        <v>590</v>
      </c>
      <c r="D6" s="1"/>
      <c r="E6" s="1">
        <f t="shared" si="0"/>
        <v>590</v>
      </c>
      <c r="F6" s="1">
        <f t="array" ref="F6">COUNTIF($E$4:$E$60,"&gt;"&amp;E6)+1+SUMPRODUCT(--($E$4:$E$60=E6),--($D$4:$D$60&lt;D6))</f>
        <v>3</v>
      </c>
      <c r="G6" s="1" t="str">
        <f t="shared" si="1"/>
        <v>3rd</v>
      </c>
      <c r="H6" s="6">
        <f>VLOOKUP(F6,League_Points!$A$2:$B$61,2)</f>
        <v>48</v>
      </c>
      <c r="J6" s="22">
        <f>IF(LEN(B6)-LEN(SUBSTITUTE(B6,"&amp;",""))&gt;0,CONCATENATE(COUNTIF('League Results'!$D$5:$D$64,MID(B6,1,FIND(" &amp; ",B6)-1)),"-",COUNTIF('League Results'!$D$5:$D$64,MID(B6,FIND(" &amp; ",B6)+3,LEN(B6)))),COUNTIF('League Results'!$D$5:$D$64,B6))</f>
        <v>0</v>
      </c>
    </row>
    <row r="7" spans="2:10" x14ac:dyDescent="0.35">
      <c r="B7" s="5"/>
      <c r="C7" s="1">
        <v>590</v>
      </c>
      <c r="D7" s="1"/>
      <c r="E7" s="1">
        <f t="shared" si="0"/>
        <v>590</v>
      </c>
      <c r="F7" s="1">
        <f t="array" ref="F7">COUNTIF($E$4:$E$60,"&gt;"&amp;E7)+1+SUMPRODUCT(--($E$4:$E$60=E7),--($D$4:$D$60&lt;D7))</f>
        <v>3</v>
      </c>
      <c r="G7" s="1" t="str">
        <f t="shared" si="1"/>
        <v>3rd</v>
      </c>
      <c r="H7" s="6">
        <f>VLOOKUP(F7,League_Points!$A$2:$B$61,2)</f>
        <v>48</v>
      </c>
      <c r="J7" s="22">
        <f>IF(LEN(B7)-LEN(SUBSTITUTE(B7,"&amp;",""))&gt;0,CONCATENATE(COUNTIF('League Results'!$D$5:$D$64,MID(B7,1,FIND(" &amp; ",B7)-1)),"-",COUNTIF('League Results'!$D$5:$D$64,MID(B7,FIND(" &amp; ",B7)+3,LEN(B7)))),COUNTIF('League Results'!$D$5:$D$64,B7))</f>
        <v>0</v>
      </c>
    </row>
    <row r="8" spans="2:10" x14ac:dyDescent="0.35">
      <c r="B8" s="5"/>
      <c r="C8" s="1">
        <v>590</v>
      </c>
      <c r="D8" s="1">
        <v>30</v>
      </c>
      <c r="E8" s="1">
        <f t="shared" si="0"/>
        <v>560</v>
      </c>
      <c r="F8" s="1">
        <f t="array" ref="F8">COUNTIF($E$4:$E$60,"&gt;"&amp;E8)+1+SUMPRODUCT(--($E$4:$E$60=E8),--($D$4:$D$60&lt;D8))</f>
        <v>5</v>
      </c>
      <c r="G8" s="1" t="str">
        <f t="shared" si="1"/>
        <v>5th</v>
      </c>
      <c r="H8" s="6">
        <f>VLOOKUP(F8,League_Points!$A$2:$B$61,2)</f>
        <v>46</v>
      </c>
      <c r="J8" s="22">
        <f>IF(LEN(B8)-LEN(SUBSTITUTE(B8,"&amp;",""))&gt;0,CONCATENATE(COUNTIF('League Results'!$D$5:$D$64,MID(B8,1,FIND(" &amp; ",B8)-1)),"-",COUNTIF('League Results'!$D$5:$D$64,MID(B8,FIND(" &amp; ",B8)+3,LEN(B8)))),COUNTIF('League Results'!$D$5:$D$64,B8))</f>
        <v>0</v>
      </c>
    </row>
    <row r="9" spans="2:10" x14ac:dyDescent="0.35">
      <c r="B9" s="5"/>
      <c r="C9" s="1">
        <v>540</v>
      </c>
      <c r="D9" s="1"/>
      <c r="E9" s="1">
        <f t="shared" si="0"/>
        <v>540</v>
      </c>
      <c r="F9" s="1">
        <f t="array" ref="F9">COUNTIF($E$4:$E$60,"&gt;"&amp;E9)+1+SUMPRODUCT(--($E$4:$E$60=E9),--($D$4:$D$60&lt;D9))</f>
        <v>6</v>
      </c>
      <c r="G9" s="1" t="str">
        <f t="shared" si="1"/>
        <v>6th</v>
      </c>
      <c r="H9" s="6">
        <f>VLOOKUP(F9,League_Points!$A$2:$B$61,2)</f>
        <v>45</v>
      </c>
      <c r="J9" s="22">
        <f>IF(LEN(B9)-LEN(SUBSTITUTE(B9,"&amp;",""))&gt;0,CONCATENATE(COUNTIF('League Results'!$D$5:$D$64,MID(B9,1,FIND(" &amp; ",B9)-1)),"-",COUNTIF('League Results'!$D$5:$D$64,MID(B9,FIND(" &amp; ",B9)+3,LEN(B9)))),COUNTIF('League Results'!$D$5:$D$64,B9))</f>
        <v>0</v>
      </c>
    </row>
    <row r="10" spans="2:10" x14ac:dyDescent="0.35">
      <c r="B10" s="5"/>
      <c r="C10" s="1">
        <v>630</v>
      </c>
      <c r="D10" s="1">
        <v>90</v>
      </c>
      <c r="E10" s="1">
        <f t="shared" si="0"/>
        <v>540</v>
      </c>
      <c r="F10" s="1">
        <f t="array" ref="F10">COUNTIF($E$4:$E$60,"&gt;"&amp;E10)+1+SUMPRODUCT(--($E$4:$E$60=E10),--($D$4:$D$60&lt;D10))</f>
        <v>7</v>
      </c>
      <c r="G10" s="1" t="str">
        <f t="shared" si="1"/>
        <v>7th</v>
      </c>
      <c r="H10" s="6">
        <f>VLOOKUP(F10,League_Points!$A$2:$B$61,2)</f>
        <v>44</v>
      </c>
      <c r="J10" s="22">
        <f>IF(LEN(B10)-LEN(SUBSTITUTE(B10,"&amp;",""))&gt;0,CONCATENATE(COUNTIF('League Results'!$D$5:$D$64,MID(B10,1,FIND(" &amp; ",B10)-1)),"-",COUNTIF('League Results'!$D$5:$D$64,MID(B10,FIND(" &amp; ",B10)+3,LEN(B10)))),COUNTIF('League Results'!$D$5:$D$64,B10))</f>
        <v>0</v>
      </c>
    </row>
    <row r="11" spans="2:10" x14ac:dyDescent="0.35">
      <c r="B11" s="5"/>
      <c r="C11" s="1">
        <v>530</v>
      </c>
      <c r="D11" s="1"/>
      <c r="E11" s="1">
        <f t="shared" si="0"/>
        <v>530</v>
      </c>
      <c r="F11" s="1">
        <f t="array" ref="F11">COUNTIF($E$4:$E$60,"&gt;"&amp;E11)+1+SUMPRODUCT(--($E$4:$E$60=E11),--($D$4:$D$60&lt;D11))</f>
        <v>8</v>
      </c>
      <c r="G11" s="1" t="str">
        <f t="shared" si="1"/>
        <v>8th</v>
      </c>
      <c r="H11" s="6">
        <f>VLOOKUP(F11,League_Points!$A$2:$B$61,2)</f>
        <v>43</v>
      </c>
      <c r="J11" s="22">
        <f>IF(LEN(B11)-LEN(SUBSTITUTE(B11,"&amp;",""))&gt;0,CONCATENATE(COUNTIF('League Results'!$D$5:$D$64,MID(B11,1,FIND(" &amp; ",B11)-1)),"-",COUNTIF('League Results'!$D$5:$D$64,MID(B11,FIND(" &amp; ",B11)+3,LEN(B11)))),COUNTIF('League Results'!$D$5:$D$64,B11))</f>
        <v>0</v>
      </c>
    </row>
    <row r="12" spans="2:10" x14ac:dyDescent="0.35">
      <c r="B12" s="5"/>
      <c r="C12" s="1">
        <v>470</v>
      </c>
      <c r="D12" s="1"/>
      <c r="E12" s="1">
        <f t="shared" si="0"/>
        <v>470</v>
      </c>
      <c r="F12" s="1">
        <f t="array" ref="F12">COUNTIF($E$4:$E$60,"&gt;"&amp;E12)+1+SUMPRODUCT(--($E$4:$E$60=E12),--($D$4:$D$60&lt;D12))</f>
        <v>9</v>
      </c>
      <c r="G12" s="1" t="str">
        <f t="shared" si="1"/>
        <v>9th</v>
      </c>
      <c r="H12" s="6">
        <f>VLOOKUP(F12,League_Points!$A$2:$B$61,2)</f>
        <v>42</v>
      </c>
      <c r="J12" s="22">
        <f>IF(LEN(B12)-LEN(SUBSTITUTE(B12,"&amp;",""))&gt;0,CONCATENATE(COUNTIF('League Results'!$D$5:$D$64,MID(B12,1,FIND(" &amp; ",B12)-1)),"-",COUNTIF('League Results'!$D$5:$D$64,MID(B12,FIND(" &amp; ",B12)+3,LEN(B12)))),COUNTIF('League Results'!$D$5:$D$64,B12))</f>
        <v>0</v>
      </c>
    </row>
    <row r="13" spans="2:10" x14ac:dyDescent="0.35">
      <c r="B13" s="5"/>
      <c r="C13" s="1">
        <v>500</v>
      </c>
      <c r="D13" s="1">
        <v>30</v>
      </c>
      <c r="E13" s="1">
        <f t="shared" si="0"/>
        <v>470</v>
      </c>
      <c r="F13" s="1">
        <f t="array" ref="F13">COUNTIF($E$4:$E$60,"&gt;"&amp;E13)+1+SUMPRODUCT(--($E$4:$E$60=E13),--($D$4:$D$60&lt;D13))</f>
        <v>10</v>
      </c>
      <c r="G13" s="1" t="str">
        <f t="shared" si="1"/>
        <v>10th</v>
      </c>
      <c r="H13" s="6">
        <f>VLOOKUP(F13,League_Points!$A$2:$B$61,2)</f>
        <v>41</v>
      </c>
      <c r="J13" s="22">
        <f>IF(LEN(B13)-LEN(SUBSTITUTE(B13,"&amp;",""))&gt;0,CONCATENATE(COUNTIF('League Results'!$D$5:$D$64,MID(B13,1,FIND(" &amp; ",B13)-1)),"-",COUNTIF('League Results'!$D$5:$D$64,MID(B13,FIND(" &amp; ",B13)+3,LEN(B13)))),COUNTIF('League Results'!$D$5:$D$64,B13))</f>
        <v>0</v>
      </c>
    </row>
    <row r="14" spans="2:10" x14ac:dyDescent="0.35">
      <c r="B14" s="5"/>
      <c r="C14" s="1">
        <v>610</v>
      </c>
      <c r="D14" s="1">
        <v>150</v>
      </c>
      <c r="E14" s="1">
        <f t="shared" si="0"/>
        <v>460</v>
      </c>
      <c r="F14" s="1">
        <f t="array" ref="F14">COUNTIF($E$4:$E$60,"&gt;"&amp;E14)+1+SUMPRODUCT(--($E$4:$E$60=E14),--($D$4:$D$60&lt;D14))</f>
        <v>11</v>
      </c>
      <c r="G14" s="1" t="str">
        <f t="shared" si="1"/>
        <v>11th</v>
      </c>
      <c r="H14" s="6">
        <f>VLOOKUP(F14,League_Points!$A$2:$B$61,2)</f>
        <v>40</v>
      </c>
      <c r="J14" s="22">
        <f>IF(LEN(B14)-LEN(SUBSTITUTE(B14,"&amp;",""))&gt;0,CONCATENATE(COUNTIF('League Results'!$D$5:$D$64,MID(B14,1,FIND(" &amp; ",B14)-1)),"-",COUNTIF('League Results'!$D$5:$D$64,MID(B14,FIND(" &amp; ",B14)+3,LEN(B14)))),COUNTIF('League Results'!$D$5:$D$64,B14))</f>
        <v>0</v>
      </c>
    </row>
    <row r="15" spans="2:10" x14ac:dyDescent="0.35">
      <c r="B15" s="5"/>
      <c r="C15" s="1">
        <v>400</v>
      </c>
      <c r="D15" s="1"/>
      <c r="E15" s="1">
        <f t="shared" si="0"/>
        <v>400</v>
      </c>
      <c r="F15" s="1">
        <f t="array" ref="F15">COUNTIF($E$4:$E$60,"&gt;"&amp;E15)+1+SUMPRODUCT(--($E$4:$E$60=E15),--($D$4:$D$60&lt;D15))</f>
        <v>12</v>
      </c>
      <c r="G15" s="1" t="str">
        <f t="shared" si="1"/>
        <v>12th</v>
      </c>
      <c r="H15" s="6">
        <f>VLOOKUP(F15,League_Points!$A$2:$B$61,2)</f>
        <v>39</v>
      </c>
      <c r="J15" s="22">
        <f>IF(LEN(B15)-LEN(SUBSTITUTE(B15,"&amp;",""))&gt;0,CONCATENATE(COUNTIF('League Results'!$D$5:$D$64,MID(B15,1,FIND(" &amp; ",B15)-1)),"-",COUNTIF('League Results'!$D$5:$D$64,MID(B15,FIND(" &amp; ",B15)+3,LEN(B15)))),COUNTIF('League Results'!$D$5:$D$64,B15))</f>
        <v>0</v>
      </c>
    </row>
    <row r="16" spans="2:10" x14ac:dyDescent="0.35">
      <c r="B16" s="5"/>
      <c r="C16" s="1">
        <v>370</v>
      </c>
      <c r="D16" s="1"/>
      <c r="E16" s="1">
        <f t="shared" si="0"/>
        <v>370</v>
      </c>
      <c r="F16" s="1">
        <f t="array" ref="F16">COUNTIF($E$4:$E$60,"&gt;"&amp;E16)+1+SUMPRODUCT(--($E$4:$E$60=E16),--($D$4:$D$60&lt;D16))</f>
        <v>13</v>
      </c>
      <c r="G16" s="1" t="str">
        <f t="shared" si="1"/>
        <v>13th</v>
      </c>
      <c r="H16" s="6">
        <f>VLOOKUP(F16,League_Points!$A$2:$B$61,2)</f>
        <v>38</v>
      </c>
      <c r="J16" s="22">
        <f>IF(LEN(B16)-LEN(SUBSTITUTE(B16,"&amp;",""))&gt;0,CONCATENATE(COUNTIF('League Results'!$D$5:$D$64,MID(B16,1,FIND(" &amp; ",B16)-1)),"-",COUNTIF('League Results'!$D$5:$D$64,MID(B16,FIND(" &amp; ",B16)+3,LEN(B16)))),COUNTIF('League Results'!$D$5:$D$64,B16))</f>
        <v>0</v>
      </c>
    </row>
    <row r="17" spans="2:10" x14ac:dyDescent="0.35">
      <c r="B17" s="5"/>
      <c r="C17" s="1">
        <v>350</v>
      </c>
      <c r="D17" s="1"/>
      <c r="E17" s="1">
        <f t="shared" si="0"/>
        <v>350</v>
      </c>
      <c r="F17" s="1">
        <f t="array" ref="F17">COUNTIF($E$4:$E$60,"&gt;"&amp;E17)+1+SUMPRODUCT(--($E$4:$E$60=E17),--($D$4:$D$60&lt;D17))</f>
        <v>14</v>
      </c>
      <c r="G17" s="1" t="str">
        <f t="shared" si="1"/>
        <v>14th</v>
      </c>
      <c r="H17" s="6">
        <f>VLOOKUP(F17,League_Points!$A$2:$B$61,2)</f>
        <v>37</v>
      </c>
      <c r="J17" s="22">
        <f>IF(LEN(B17)-LEN(SUBSTITUTE(B17,"&amp;",""))&gt;0,CONCATENATE(COUNTIF('League Results'!$D$5:$D$64,MID(B17,1,FIND(" &amp; ",B17)-1)),"-",COUNTIF('League Results'!$D$5:$D$64,MID(B17,FIND(" &amp; ",B17)+3,LEN(B17)))),COUNTIF('League Results'!$D$5:$D$64,B17))</f>
        <v>0</v>
      </c>
    </row>
    <row r="18" spans="2:10" x14ac:dyDescent="0.35">
      <c r="B18" s="5"/>
      <c r="C18" s="1">
        <v>440</v>
      </c>
      <c r="D18" s="1">
        <v>90</v>
      </c>
      <c r="E18" s="1">
        <f t="shared" si="0"/>
        <v>350</v>
      </c>
      <c r="F18" s="1">
        <f t="array" ref="F18">COUNTIF($E$4:$E$60,"&gt;"&amp;E18)+1+SUMPRODUCT(--($E$4:$E$60=E18),--($D$4:$D$60&lt;D18))</f>
        <v>15</v>
      </c>
      <c r="G18" s="1" t="str">
        <f t="shared" si="1"/>
        <v>15th</v>
      </c>
      <c r="H18" s="6">
        <f>VLOOKUP(F18,League_Points!$A$2:$B$61,2)</f>
        <v>36</v>
      </c>
      <c r="J18" s="22">
        <f>IF(LEN(B18)-LEN(SUBSTITUTE(B18,"&amp;",""))&gt;0,CONCATENATE(COUNTIF('League Results'!$D$5:$D$64,MID(B18,1,FIND(" &amp; ",B18)-1)),"-",COUNTIF('League Results'!$D$5:$D$64,MID(B18,FIND(" &amp; ",B18)+3,LEN(B18)))),COUNTIF('League Results'!$D$5:$D$64,B18))</f>
        <v>0</v>
      </c>
    </row>
    <row r="19" spans="2:10" x14ac:dyDescent="0.35">
      <c r="B19" s="5"/>
      <c r="C19" s="1">
        <v>390</v>
      </c>
      <c r="D19" s="1">
        <v>60</v>
      </c>
      <c r="E19" s="1">
        <f t="shared" si="0"/>
        <v>330</v>
      </c>
      <c r="F19" s="1">
        <f t="array" ref="F19">COUNTIF($E$4:$E$60,"&gt;"&amp;E19)+1+SUMPRODUCT(--($E$4:$E$60=E19),--($D$4:$D$60&lt;D19))</f>
        <v>16</v>
      </c>
      <c r="G19" s="1" t="str">
        <f t="shared" si="1"/>
        <v>16th</v>
      </c>
      <c r="H19" s="6">
        <f>VLOOKUP(F19,League_Points!$A$2:$B$61,2)</f>
        <v>35</v>
      </c>
      <c r="J19" s="22">
        <f>IF(LEN(B19)-LEN(SUBSTITUTE(B19,"&amp;",""))&gt;0,CONCATENATE(COUNTIF('League Results'!$D$5:$D$64,MID(B19,1,FIND(" &amp; ",B19)-1)),"-",COUNTIF('League Results'!$D$5:$D$64,MID(B19,FIND(" &amp; ",B19)+3,LEN(B19)))),COUNTIF('League Results'!$D$5:$D$64,B19))</f>
        <v>0</v>
      </c>
    </row>
    <row r="20" spans="2:10" x14ac:dyDescent="0.35">
      <c r="B20" s="5"/>
      <c r="C20" s="1">
        <v>320</v>
      </c>
      <c r="D20" s="1"/>
      <c r="E20" s="1">
        <f t="shared" si="0"/>
        <v>320</v>
      </c>
      <c r="F20" s="1">
        <f t="array" ref="F20">COUNTIF($E$4:$E$60,"&gt;"&amp;E20)+1+SUMPRODUCT(--($E$4:$E$60=E20),--($D$4:$D$60&lt;D20))</f>
        <v>17</v>
      </c>
      <c r="G20" s="1" t="str">
        <f t="shared" si="1"/>
        <v>17th</v>
      </c>
      <c r="H20" s="6">
        <f>VLOOKUP(F20,League_Points!$A$2:$B$61,2)</f>
        <v>34</v>
      </c>
      <c r="J20" s="22">
        <f>IF(LEN(B20)-LEN(SUBSTITUTE(B20,"&amp;",""))&gt;0,CONCATENATE(COUNTIF('League Results'!$D$5:$D$64,MID(B20,1,FIND(" &amp; ",B20)-1)),"-",COUNTIF('League Results'!$D$5:$D$64,MID(B20,FIND(" &amp; ",B20)+3,LEN(B20)))),COUNTIF('League Results'!$D$5:$D$64,B20))</f>
        <v>0</v>
      </c>
    </row>
    <row r="21" spans="2:10" x14ac:dyDescent="0.35">
      <c r="B21" s="5"/>
      <c r="C21" s="1">
        <v>310</v>
      </c>
      <c r="D21" s="1"/>
      <c r="E21" s="1">
        <f t="shared" si="0"/>
        <v>310</v>
      </c>
      <c r="F21" s="1">
        <f t="array" ref="F21">COUNTIF($E$4:$E$60,"&gt;"&amp;E21)+1+SUMPRODUCT(--($E$4:$E$60=E21),--($D$4:$D$60&lt;D21))</f>
        <v>18</v>
      </c>
      <c r="G21" s="1" t="str">
        <f t="shared" si="1"/>
        <v>18th</v>
      </c>
      <c r="H21" s="6">
        <f>VLOOKUP(F21,League_Points!$A$2:$B$61,2)</f>
        <v>33</v>
      </c>
      <c r="J21" s="22">
        <f>IF(LEN(B21)-LEN(SUBSTITUTE(B21,"&amp;",""))&gt;0,CONCATENATE(COUNTIF('League Results'!$D$5:$D$64,MID(B21,1,FIND(" &amp; ",B21)-1)),"-",COUNTIF('League Results'!$D$5:$D$64,MID(B21,FIND(" &amp; ",B21)+3,LEN(B21)))),COUNTIF('League Results'!$D$5:$D$64,B21))</f>
        <v>0</v>
      </c>
    </row>
    <row r="22" spans="2:10" x14ac:dyDescent="0.35">
      <c r="B22" s="5"/>
      <c r="C22" s="1">
        <v>460</v>
      </c>
      <c r="D22" s="1">
        <v>210</v>
      </c>
      <c r="E22" s="1">
        <f t="shared" si="0"/>
        <v>250</v>
      </c>
      <c r="F22" s="1">
        <f t="array" ref="F22">COUNTIF($E$4:$E$60,"&gt;"&amp;E22)+1+SUMPRODUCT(--($E$4:$E$60=E22),--($D$4:$D$60&lt;D22))</f>
        <v>19</v>
      </c>
      <c r="G22" s="1" t="str">
        <f t="shared" si="1"/>
        <v>19th</v>
      </c>
      <c r="H22" s="6">
        <f>VLOOKUP(F22,League_Points!$A$2:$B$61,2)</f>
        <v>32</v>
      </c>
      <c r="J22" s="22">
        <f>IF(LEN(B22)-LEN(SUBSTITUTE(B22,"&amp;",""))&gt;0,CONCATENATE(COUNTIF('League Results'!$D$5:$D$64,MID(B22,1,FIND(" &amp; ",B22)-1)),"-",COUNTIF('League Results'!$D$5:$D$64,MID(B22,FIND(" &amp; ",B22)+3,LEN(B22)))),COUNTIF('League Results'!$D$5:$D$64,B22))</f>
        <v>0</v>
      </c>
    </row>
    <row r="23" spans="2:10" ht="16" thickBot="1" x14ac:dyDescent="0.4">
      <c r="B23" s="7"/>
      <c r="C23" s="8" t="s">
        <v>22</v>
      </c>
      <c r="D23" s="8"/>
      <c r="E23" s="8"/>
      <c r="F23" s="8"/>
      <c r="G23" s="8"/>
      <c r="H23" s="9" t="s">
        <v>23</v>
      </c>
      <c r="J23" s="23">
        <f>IF(LEN(B23)-LEN(SUBSTITUTE(B23,"&amp;",""))&gt;0,CONCATENATE(COUNTIF('League Results'!$D$5:$D$64,MID(B23,1,FIND(" &amp; ",B23)-1)),"-",COUNTIF('League Results'!$D$5:$D$64,MID(B23,FIND(" &amp; ",B23)+3,LEN(B23)))),COUNTIF('League Results'!$D$5:$D$64,B23))</f>
        <v>0</v>
      </c>
    </row>
    <row r="25" spans="2:10" ht="71.25" customHeight="1" x14ac:dyDescent="0.35">
      <c r="B25" s="62" t="s">
        <v>24</v>
      </c>
      <c r="C25" s="62"/>
      <c r="D25" s="62"/>
      <c r="E25" s="62"/>
      <c r="F25" s="62"/>
      <c r="G25" s="62"/>
      <c r="H25" s="62"/>
    </row>
    <row r="27" spans="2:10" ht="64" customHeight="1" x14ac:dyDescent="0.35">
      <c r="B27" s="62" t="s">
        <v>25</v>
      </c>
      <c r="C27" s="62"/>
      <c r="D27" s="62"/>
      <c r="E27" s="62"/>
      <c r="F27" s="62"/>
      <c r="G27" s="62"/>
      <c r="H27" s="62"/>
    </row>
  </sheetData>
  <autoFilter ref="B3:H3" xr:uid="{00000000-0009-0000-0000-000006000000}">
    <sortState xmlns:xlrd2="http://schemas.microsoft.com/office/spreadsheetml/2017/richdata2" ref="B4:H56">
      <sortCondition descending="1" ref="E3"/>
    </sortState>
  </autoFilter>
  <mergeCells count="3">
    <mergeCell ref="B2:H2"/>
    <mergeCell ref="B25:H25"/>
    <mergeCell ref="B27:H27"/>
  </mergeCells>
  <conditionalFormatting sqref="J4:J23">
    <cfRule type="expression" dxfId="11" priority="2">
      <formula>AND($J4&lt;&gt;1,$J4&lt;&gt;"1-1")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fitToPage="1"/>
  </sheetPr>
  <dimension ref="B1:J31"/>
  <sheetViews>
    <sheetView topLeftCell="A17" workbookViewId="0">
      <selection activeCell="B26" sqref="B4:B26"/>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Tattenham Corner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x14ac:dyDescent="0.35">
      <c r="B4" s="2"/>
      <c r="C4" s="3">
        <v>920</v>
      </c>
      <c r="D4" s="3"/>
      <c r="E4" s="3">
        <f t="shared" ref="E4:E25" si="0">C4-D4</f>
        <v>920</v>
      </c>
      <c r="F4" s="3">
        <f t="array" ref="F4">COUNTIF($E$4:$E$64,"&gt;"&amp;E4)+1+SUMPRODUCT(--($E$4:$E$64=E4),--($D$4:$D$64&lt;D4))</f>
        <v>1</v>
      </c>
      <c r="G4" s="3" t="str">
        <f t="shared" ref="G4:G25" si="1">F4&amp;IF(AND(MOD(ABS(F4),100)&gt;10,MOD(ABS(F4),100)&lt;14),"th",CHOOSE(MOD(ABS(F4),10)+1,"th","st","nd","rd","th","th","th","th","th","th"))</f>
        <v>1st</v>
      </c>
      <c r="H4" s="4">
        <f>VLOOKUP(F4,League_Points!$A$2:$B$61,2)</f>
        <v>50</v>
      </c>
      <c r="J4" s="24">
        <f>IF(LEN(B4)-LEN(SUBSTITUTE(B4,"&amp;",""))&gt;0,CONCATENATE(COUNTIF('League Results'!$D$5:$D$64,MID(B4,1,FIND(" &amp; ",B4)-1)),"-",COUNTIF('League Results'!$D$5:$D$64,MID(B4,FIND(" &amp; ",B4)+3,LEN(B4)))),COUNTIF('League Results'!$D$5:$D$64,B4))</f>
        <v>0</v>
      </c>
    </row>
    <row r="5" spans="2:10" x14ac:dyDescent="0.35">
      <c r="B5" s="5"/>
      <c r="C5" s="1">
        <v>810</v>
      </c>
      <c r="D5" s="1"/>
      <c r="E5" s="1">
        <f t="shared" si="0"/>
        <v>810</v>
      </c>
      <c r="F5" s="1">
        <f t="array" ref="F5">COUNTIF($E$4:$E$64,"&gt;"&amp;E5)+1+SUMPRODUCT(--($E$4:$E$64=E5),--($D$4:$D$64&lt;D5))</f>
        <v>2</v>
      </c>
      <c r="G5" s="1" t="str">
        <f t="shared" si="1"/>
        <v>2nd</v>
      </c>
      <c r="H5" s="6">
        <f>VLOOKUP(F5,League_Points!$A$2:$B$61,2)</f>
        <v>49</v>
      </c>
      <c r="J5" s="22">
        <f>IF(LEN(B5)-LEN(SUBSTITUTE(B5,"&amp;",""))&gt;0,CONCATENATE(COUNTIF('League Results'!$D$5:$D$64,MID(B5,1,FIND(" &amp; ",B5)-1)),"-",COUNTIF('League Results'!$D$5:$D$64,MID(B5,FIND(" &amp; ",B5)+3,LEN(B5)))),COUNTIF('League Results'!$D$5:$D$64,B5))</f>
        <v>0</v>
      </c>
    </row>
    <row r="6" spans="2:10" x14ac:dyDescent="0.35">
      <c r="B6" s="5"/>
      <c r="C6" s="1">
        <v>820</v>
      </c>
      <c r="D6" s="1">
        <v>30</v>
      </c>
      <c r="E6" s="1">
        <f t="shared" si="0"/>
        <v>790</v>
      </c>
      <c r="F6" s="1">
        <f t="array" ref="F6">COUNTIF($E$4:$E$64,"&gt;"&amp;E6)+1+SUMPRODUCT(--($E$4:$E$64=E6),--($D$4:$D$64&lt;D6))</f>
        <v>3</v>
      </c>
      <c r="G6" s="1" t="str">
        <f t="shared" si="1"/>
        <v>3rd</v>
      </c>
      <c r="H6" s="6">
        <f>VLOOKUP(F6,League_Points!$A$2:$B$61,2)</f>
        <v>48</v>
      </c>
      <c r="J6" s="22">
        <f>IF(LEN(B6)-LEN(SUBSTITUTE(B6,"&amp;",""))&gt;0,CONCATENATE(COUNTIF('League Results'!$D$5:$D$64,MID(B6,1,FIND(" &amp; ",B6)-1)),"-",COUNTIF('League Results'!$D$5:$D$64,MID(B6,FIND(" &amp; ",B6)+3,LEN(B6)))),COUNTIF('League Results'!$D$5:$D$64,B6))</f>
        <v>0</v>
      </c>
    </row>
    <row r="7" spans="2:10" x14ac:dyDescent="0.35">
      <c r="B7" s="5"/>
      <c r="C7" s="1">
        <v>760</v>
      </c>
      <c r="D7" s="1">
        <v>30</v>
      </c>
      <c r="E7" s="1">
        <f t="shared" si="0"/>
        <v>730</v>
      </c>
      <c r="F7" s="1">
        <f t="array" ref="F7">COUNTIF($E$4:$E$64,"&gt;"&amp;E7)+1+SUMPRODUCT(--($E$4:$E$64=E7),--($D$4:$D$64&lt;D7))</f>
        <v>4</v>
      </c>
      <c r="G7" s="1" t="str">
        <f t="shared" si="1"/>
        <v>4th</v>
      </c>
      <c r="H7" s="6">
        <f>VLOOKUP(F7,League_Points!$A$2:$B$61,2)</f>
        <v>47</v>
      </c>
      <c r="J7" s="22">
        <f>IF(LEN(B7)-LEN(SUBSTITUTE(B7,"&amp;",""))&gt;0,CONCATENATE(COUNTIF('League Results'!$D$5:$D$64,MID(B7,1,FIND(" &amp; ",B7)-1)),"-",COUNTIF('League Results'!$D$5:$D$64,MID(B7,FIND(" &amp; ",B7)+3,LEN(B7)))),COUNTIF('League Results'!$D$5:$D$64,B7))</f>
        <v>0</v>
      </c>
    </row>
    <row r="8" spans="2:10" x14ac:dyDescent="0.35">
      <c r="B8" s="5"/>
      <c r="C8" s="1">
        <v>710</v>
      </c>
      <c r="D8" s="1"/>
      <c r="E8" s="1">
        <f t="shared" si="0"/>
        <v>710</v>
      </c>
      <c r="F8" s="1">
        <f t="array" ref="F8">COUNTIF($E$4:$E$64,"&gt;"&amp;E8)+1+SUMPRODUCT(--($E$4:$E$64=E8),--($D$4:$D$64&lt;D8))</f>
        <v>5</v>
      </c>
      <c r="G8" s="1" t="str">
        <f t="shared" si="1"/>
        <v>5th</v>
      </c>
      <c r="H8" s="6">
        <f>VLOOKUP(F8,League_Points!$A$2:$B$61,2)</f>
        <v>46</v>
      </c>
      <c r="J8" s="22">
        <f>IF(LEN(B8)-LEN(SUBSTITUTE(B8,"&amp;",""))&gt;0,CONCATENATE(COUNTIF('League Results'!$D$5:$D$64,MID(B8,1,FIND(" &amp; ",B8)-1)),"-",COUNTIF('League Results'!$D$5:$D$64,MID(B8,FIND(" &amp; ",B8)+3,LEN(B8)))),COUNTIF('League Results'!$D$5:$D$64,B8))</f>
        <v>0</v>
      </c>
    </row>
    <row r="9" spans="2:10" x14ac:dyDescent="0.35">
      <c r="B9" s="5"/>
      <c r="C9" s="1">
        <v>700</v>
      </c>
      <c r="D9" s="1"/>
      <c r="E9" s="1">
        <f t="shared" si="0"/>
        <v>700</v>
      </c>
      <c r="F9" s="1">
        <f t="array" ref="F9">COUNTIF($E$4:$E$64,"&gt;"&amp;E9)+1+SUMPRODUCT(--($E$4:$E$64=E9),--($D$4:$D$64&lt;D9))</f>
        <v>6</v>
      </c>
      <c r="G9" s="1" t="str">
        <f t="shared" si="1"/>
        <v>6th</v>
      </c>
      <c r="H9" s="6">
        <f>VLOOKUP(F9,League_Points!$A$2:$B$61,2)</f>
        <v>45</v>
      </c>
      <c r="J9" s="22">
        <f>IF(LEN(B9)-LEN(SUBSTITUTE(B9,"&amp;",""))&gt;0,CONCATENATE(COUNTIF('League Results'!$D$5:$D$64,MID(B9,1,FIND(" &amp; ",B9)-1)),"-",COUNTIF('League Results'!$D$5:$D$64,MID(B9,FIND(" &amp; ",B9)+3,LEN(B9)))),COUNTIF('League Results'!$D$5:$D$64,B9))</f>
        <v>0</v>
      </c>
    </row>
    <row r="10" spans="2:10" x14ac:dyDescent="0.35">
      <c r="B10" s="5"/>
      <c r="C10" s="1">
        <v>700</v>
      </c>
      <c r="D10" s="1"/>
      <c r="E10" s="1">
        <f t="shared" si="0"/>
        <v>700</v>
      </c>
      <c r="F10" s="1">
        <f t="array" ref="F10">COUNTIF($E$4:$E$64,"&gt;"&amp;E10)+1+SUMPRODUCT(--($E$4:$E$64=E10),--($D$4:$D$64&lt;D10))</f>
        <v>6</v>
      </c>
      <c r="G10" s="1" t="str">
        <f t="shared" si="1"/>
        <v>6th</v>
      </c>
      <c r="H10" s="6">
        <f>VLOOKUP(F10,League_Points!$A$2:$B$61,2)</f>
        <v>45</v>
      </c>
      <c r="J10" s="22">
        <f>IF(LEN(B10)-LEN(SUBSTITUTE(B10,"&amp;",""))&gt;0,CONCATENATE(COUNTIF('League Results'!$D$5:$D$64,MID(B10,1,FIND(" &amp; ",B10)-1)),"-",COUNTIF('League Results'!$D$5:$D$64,MID(B10,FIND(" &amp; ",B10)+3,LEN(B10)))),COUNTIF('League Results'!$D$5:$D$64,B10))</f>
        <v>0</v>
      </c>
    </row>
    <row r="11" spans="2:10" x14ac:dyDescent="0.35">
      <c r="B11" s="5"/>
      <c r="C11" s="1">
        <v>670</v>
      </c>
      <c r="D11" s="1"/>
      <c r="E11" s="1">
        <f t="shared" si="0"/>
        <v>670</v>
      </c>
      <c r="F11" s="1">
        <f t="array" ref="F11">COUNTIF($E$4:$E$64,"&gt;"&amp;E11)+1+SUMPRODUCT(--($E$4:$E$64=E11),--($D$4:$D$64&lt;D11))</f>
        <v>8</v>
      </c>
      <c r="G11" s="1" t="str">
        <f t="shared" si="1"/>
        <v>8th</v>
      </c>
      <c r="H11" s="6">
        <f>VLOOKUP(F11,League_Points!$A$2:$B$61,2)</f>
        <v>43</v>
      </c>
      <c r="J11" s="22">
        <f>IF(LEN(B11)-LEN(SUBSTITUTE(B11,"&amp;",""))&gt;0,CONCATENATE(COUNTIF('League Results'!$D$5:$D$64,MID(B11,1,FIND(" &amp; ",B11)-1)),"-",COUNTIF('League Results'!$D$5:$D$64,MID(B11,FIND(" &amp; ",B11)+3,LEN(B11)))),COUNTIF('League Results'!$D$5:$D$64,B11))</f>
        <v>0</v>
      </c>
    </row>
    <row r="12" spans="2:10" x14ac:dyDescent="0.35">
      <c r="B12" s="5"/>
      <c r="C12" s="1">
        <v>650</v>
      </c>
      <c r="D12" s="1"/>
      <c r="E12" s="1">
        <f t="shared" si="0"/>
        <v>650</v>
      </c>
      <c r="F12" s="1">
        <f t="array" ref="F12">COUNTIF($E$4:$E$64,"&gt;"&amp;E12)+1+SUMPRODUCT(--($E$4:$E$64=E12),--($D$4:$D$64&lt;D12))</f>
        <v>9</v>
      </c>
      <c r="G12" s="1" t="str">
        <f t="shared" si="1"/>
        <v>9th</v>
      </c>
      <c r="H12" s="6">
        <f>VLOOKUP(F12,League_Points!$A$2:$B$61,2)</f>
        <v>42</v>
      </c>
      <c r="J12" s="22">
        <f>IF(LEN(B12)-LEN(SUBSTITUTE(B12,"&amp;",""))&gt;0,CONCATENATE(COUNTIF('League Results'!$D$5:$D$64,MID(B12,1,FIND(" &amp; ",B12)-1)),"-",COUNTIF('League Results'!$D$5:$D$64,MID(B12,FIND(" &amp; ",B12)+3,LEN(B12)))),COUNTIF('League Results'!$D$5:$D$64,B12))</f>
        <v>0</v>
      </c>
    </row>
    <row r="13" spans="2:10" x14ac:dyDescent="0.35">
      <c r="B13" s="5"/>
      <c r="C13" s="1">
        <v>650</v>
      </c>
      <c r="D13" s="1"/>
      <c r="E13" s="1">
        <f t="shared" si="0"/>
        <v>650</v>
      </c>
      <c r="F13" s="1">
        <f t="array" ref="F13">COUNTIF($E$4:$E$64,"&gt;"&amp;E13)+1+SUMPRODUCT(--($E$4:$E$64=E13),--($D$4:$D$64&lt;D13))</f>
        <v>9</v>
      </c>
      <c r="G13" s="1" t="str">
        <f t="shared" si="1"/>
        <v>9th</v>
      </c>
      <c r="H13" s="6">
        <f>VLOOKUP(F13,League_Points!$A$2:$B$61,2)</f>
        <v>42</v>
      </c>
      <c r="J13" s="22">
        <f>IF(LEN(B13)-LEN(SUBSTITUTE(B13,"&amp;",""))&gt;0,CONCATENATE(COUNTIF('League Results'!$D$5:$D$64,MID(B13,1,FIND(" &amp; ",B13)-1)),"-",COUNTIF('League Results'!$D$5:$D$64,MID(B13,FIND(" &amp; ",B13)+3,LEN(B13)))),COUNTIF('League Results'!$D$5:$D$64,B13))</f>
        <v>0</v>
      </c>
    </row>
    <row r="14" spans="2:10" x14ac:dyDescent="0.35">
      <c r="B14" s="5"/>
      <c r="C14" s="1">
        <v>670</v>
      </c>
      <c r="D14" s="1">
        <v>30</v>
      </c>
      <c r="E14" s="1">
        <f t="shared" si="0"/>
        <v>640</v>
      </c>
      <c r="F14" s="1">
        <f t="array" ref="F14">COUNTIF($E$4:$E$64,"&gt;"&amp;E14)+1+SUMPRODUCT(--($E$4:$E$64=E14),--($D$4:$D$64&lt;D14))</f>
        <v>11</v>
      </c>
      <c r="G14" s="1" t="str">
        <f t="shared" si="1"/>
        <v>11th</v>
      </c>
      <c r="H14" s="6">
        <f>VLOOKUP(F14,League_Points!$A$2:$B$61,2)</f>
        <v>40</v>
      </c>
      <c r="J14" s="22">
        <f>IF(LEN(B14)-LEN(SUBSTITUTE(B14,"&amp;",""))&gt;0,CONCATENATE(COUNTIF('League Results'!$D$5:$D$64,MID(B14,1,FIND(" &amp; ",B14)-1)),"-",COUNTIF('League Results'!$D$5:$D$64,MID(B14,FIND(" &amp; ",B14)+3,LEN(B14)))),COUNTIF('League Results'!$D$5:$D$64,B14))</f>
        <v>0</v>
      </c>
    </row>
    <row r="15" spans="2:10" x14ac:dyDescent="0.35">
      <c r="B15" s="5"/>
      <c r="C15" s="1">
        <v>630</v>
      </c>
      <c r="D15" s="1"/>
      <c r="E15" s="1">
        <f t="shared" si="0"/>
        <v>630</v>
      </c>
      <c r="F15" s="1">
        <f t="array" ref="F15">COUNTIF($E$4:$E$64,"&gt;"&amp;E15)+1+SUMPRODUCT(--($E$4:$E$64=E15),--($D$4:$D$64&lt;D15))</f>
        <v>12</v>
      </c>
      <c r="G15" s="1" t="str">
        <f t="shared" si="1"/>
        <v>12th</v>
      </c>
      <c r="H15" s="6">
        <f>VLOOKUP(F15,League_Points!$A$2:$B$61,2)</f>
        <v>39</v>
      </c>
      <c r="J15" s="22">
        <f>IF(LEN(B15)-LEN(SUBSTITUTE(B15,"&amp;",""))&gt;0,CONCATENATE(COUNTIF('League Results'!$D$5:$D$64,MID(B15,1,FIND(" &amp; ",B15)-1)),"-",COUNTIF('League Results'!$D$5:$D$64,MID(B15,FIND(" &amp; ",B15)+3,LEN(B15)))),COUNTIF('League Results'!$D$5:$D$64,B15))</f>
        <v>0</v>
      </c>
    </row>
    <row r="16" spans="2:10" x14ac:dyDescent="0.35">
      <c r="B16" s="5"/>
      <c r="C16" s="1">
        <v>780</v>
      </c>
      <c r="D16" s="1">
        <v>150</v>
      </c>
      <c r="E16" s="1">
        <f t="shared" si="0"/>
        <v>630</v>
      </c>
      <c r="F16" s="1">
        <f t="array" ref="F16">COUNTIF($E$4:$E$64,"&gt;"&amp;E16)+1+SUMPRODUCT(--($E$4:$E$64=E16),--($D$4:$D$64&lt;D16))</f>
        <v>13</v>
      </c>
      <c r="G16" s="1" t="str">
        <f t="shared" si="1"/>
        <v>13th</v>
      </c>
      <c r="H16" s="6">
        <f>VLOOKUP(F16,League_Points!$A$2:$B$61,2)</f>
        <v>38</v>
      </c>
      <c r="J16" s="22">
        <f>IF(LEN(B16)-LEN(SUBSTITUTE(B16,"&amp;",""))&gt;0,CONCATENATE(COUNTIF('League Results'!$D$5:$D$64,MID(B16,1,FIND(" &amp; ",B16)-1)),"-",COUNTIF('League Results'!$D$5:$D$64,MID(B16,FIND(" &amp; ",B16)+3,LEN(B16)))),COUNTIF('League Results'!$D$5:$D$64,B16))</f>
        <v>0</v>
      </c>
    </row>
    <row r="17" spans="2:10" x14ac:dyDescent="0.35">
      <c r="B17" s="5"/>
      <c r="C17" s="1">
        <v>550</v>
      </c>
      <c r="D17" s="1"/>
      <c r="E17" s="1">
        <f t="shared" si="0"/>
        <v>550</v>
      </c>
      <c r="F17" s="1">
        <f t="array" ref="F17">COUNTIF($E$4:$E$64,"&gt;"&amp;E17)+1+SUMPRODUCT(--($E$4:$E$64=E17),--($D$4:$D$64&lt;D17))</f>
        <v>14</v>
      </c>
      <c r="G17" s="1" t="str">
        <f t="shared" si="1"/>
        <v>14th</v>
      </c>
      <c r="H17" s="6">
        <f>VLOOKUP(F17,League_Points!$A$2:$B$61,2)</f>
        <v>37</v>
      </c>
      <c r="J17" s="22">
        <f>IF(LEN(B17)-LEN(SUBSTITUTE(B17,"&amp;",""))&gt;0,CONCATENATE(COUNTIF('League Results'!$D$5:$D$64,MID(B17,1,FIND(" &amp; ",B17)-1)),"-",COUNTIF('League Results'!$D$5:$D$64,MID(B17,FIND(" &amp; ",B17)+3,LEN(B17)))),COUNTIF('League Results'!$D$5:$D$64,B17))</f>
        <v>0</v>
      </c>
    </row>
    <row r="18" spans="2:10" x14ac:dyDescent="0.35">
      <c r="B18" s="5"/>
      <c r="C18" s="1">
        <v>610</v>
      </c>
      <c r="D18" s="1">
        <v>60</v>
      </c>
      <c r="E18" s="1">
        <f t="shared" si="0"/>
        <v>550</v>
      </c>
      <c r="F18" s="1">
        <f t="array" ref="F18">COUNTIF($E$4:$E$64,"&gt;"&amp;E18)+1+SUMPRODUCT(--($E$4:$E$64=E18),--($D$4:$D$64&lt;D18))</f>
        <v>15</v>
      </c>
      <c r="G18" s="1" t="str">
        <f t="shared" si="1"/>
        <v>15th</v>
      </c>
      <c r="H18" s="6">
        <f>VLOOKUP(F18,League_Points!$A$2:$B$61,2)</f>
        <v>36</v>
      </c>
      <c r="J18" s="22">
        <f>IF(LEN(B18)-LEN(SUBSTITUTE(B18,"&amp;",""))&gt;0,CONCATENATE(COUNTIF('League Results'!$D$5:$D$64,MID(B18,1,FIND(" &amp; ",B18)-1)),"-",COUNTIF('League Results'!$D$5:$D$64,MID(B18,FIND(" &amp; ",B18)+3,LEN(B18)))),COUNTIF('League Results'!$D$5:$D$64,B18))</f>
        <v>0</v>
      </c>
    </row>
    <row r="19" spans="2:10" x14ac:dyDescent="0.35">
      <c r="B19" s="5"/>
      <c r="C19" s="1">
        <v>760</v>
      </c>
      <c r="D19" s="1">
        <v>210</v>
      </c>
      <c r="E19" s="1">
        <f t="shared" si="0"/>
        <v>550</v>
      </c>
      <c r="F19" s="1">
        <f t="array" ref="F19">COUNTIF($E$4:$E$64,"&gt;"&amp;E19)+1+SUMPRODUCT(--($E$4:$E$64=E19),--($D$4:$D$64&lt;D19))</f>
        <v>16</v>
      </c>
      <c r="G19" s="1" t="str">
        <f t="shared" si="1"/>
        <v>16th</v>
      </c>
      <c r="H19" s="6">
        <f>VLOOKUP(F19,League_Points!$A$2:$B$61,2)</f>
        <v>35</v>
      </c>
      <c r="J19" s="22">
        <f>IF(LEN(B19)-LEN(SUBSTITUTE(B19,"&amp;",""))&gt;0,CONCATENATE(COUNTIF('League Results'!$D$5:$D$64,MID(B19,1,FIND(" &amp; ",B19)-1)),"-",COUNTIF('League Results'!$D$5:$D$64,MID(B19,FIND(" &amp; ",B19)+3,LEN(B19)))),COUNTIF('League Results'!$D$5:$D$64,B19))</f>
        <v>0</v>
      </c>
    </row>
    <row r="20" spans="2:10" x14ac:dyDescent="0.35">
      <c r="B20" s="5"/>
      <c r="C20" s="1">
        <v>490</v>
      </c>
      <c r="D20" s="1"/>
      <c r="E20" s="1">
        <f t="shared" si="0"/>
        <v>490</v>
      </c>
      <c r="F20" s="1">
        <f t="array" ref="F20">COUNTIF($E$4:$E$64,"&gt;"&amp;E20)+1+SUMPRODUCT(--($E$4:$E$64=E20),--($D$4:$D$64&lt;D20))</f>
        <v>17</v>
      </c>
      <c r="G20" s="1" t="str">
        <f t="shared" si="1"/>
        <v>17th</v>
      </c>
      <c r="H20" s="6">
        <f>VLOOKUP(F20,League_Points!$A$2:$B$61,2)</f>
        <v>34</v>
      </c>
      <c r="J20" s="22">
        <f>IF(LEN(B20)-LEN(SUBSTITUTE(B20,"&amp;",""))&gt;0,CONCATENATE(COUNTIF('League Results'!$D$5:$D$64,MID(B20,1,FIND(" &amp; ",B20)-1)),"-",COUNTIF('League Results'!$D$5:$D$64,MID(B20,FIND(" &amp; ",B20)+3,LEN(B20)))),COUNTIF('League Results'!$D$5:$D$64,B20))</f>
        <v>0</v>
      </c>
    </row>
    <row r="21" spans="2:10" x14ac:dyDescent="0.35">
      <c r="B21" s="5"/>
      <c r="C21" s="1">
        <v>500</v>
      </c>
      <c r="D21" s="1">
        <v>30</v>
      </c>
      <c r="E21" s="1">
        <f t="shared" si="0"/>
        <v>470</v>
      </c>
      <c r="F21" s="1">
        <f t="array" ref="F21">COUNTIF($E$4:$E$64,"&gt;"&amp;E21)+1+SUMPRODUCT(--($E$4:$E$64=E21),--($D$4:$D$64&lt;D21))</f>
        <v>18</v>
      </c>
      <c r="G21" s="1" t="str">
        <f t="shared" si="1"/>
        <v>18th</v>
      </c>
      <c r="H21" s="6">
        <f>VLOOKUP(F21,League_Points!$A$2:$B$61,2)</f>
        <v>33</v>
      </c>
      <c r="J21" s="22">
        <f>IF(LEN(B21)-LEN(SUBSTITUTE(B21,"&amp;",""))&gt;0,CONCATENATE(COUNTIF('League Results'!$D$5:$D$64,MID(B21,1,FIND(" &amp; ",B21)-1)),"-",COUNTIF('League Results'!$D$5:$D$64,MID(B21,FIND(" &amp; ",B21)+3,LEN(B21)))),COUNTIF('League Results'!$D$5:$D$64,B21))</f>
        <v>0</v>
      </c>
    </row>
    <row r="22" spans="2:10" x14ac:dyDescent="0.35">
      <c r="B22" s="5"/>
      <c r="C22" s="1">
        <v>480</v>
      </c>
      <c r="D22" s="1">
        <v>30</v>
      </c>
      <c r="E22" s="1">
        <f t="shared" si="0"/>
        <v>450</v>
      </c>
      <c r="F22" s="1">
        <f t="array" ref="F22">COUNTIF($E$4:$E$64,"&gt;"&amp;E22)+1+SUMPRODUCT(--($E$4:$E$64=E22),--($D$4:$D$64&lt;D22))</f>
        <v>19</v>
      </c>
      <c r="G22" s="1" t="str">
        <f t="shared" si="1"/>
        <v>19th</v>
      </c>
      <c r="H22" s="6">
        <f>VLOOKUP(F22,League_Points!$A$2:$B$61,2)</f>
        <v>32</v>
      </c>
      <c r="J22" s="22">
        <f>IF(LEN(B22)-LEN(SUBSTITUTE(B22,"&amp;",""))&gt;0,CONCATENATE(COUNTIF('League Results'!$D$5:$D$64,MID(B22,1,FIND(" &amp; ",B22)-1)),"-",COUNTIF('League Results'!$D$5:$D$64,MID(B22,FIND(" &amp; ",B22)+3,LEN(B22)))),COUNTIF('League Results'!$D$5:$D$64,B22))</f>
        <v>0</v>
      </c>
    </row>
    <row r="23" spans="2:10" x14ac:dyDescent="0.35">
      <c r="B23" s="5"/>
      <c r="C23" s="1">
        <v>420</v>
      </c>
      <c r="D23" s="1"/>
      <c r="E23" s="1">
        <f t="shared" si="0"/>
        <v>420</v>
      </c>
      <c r="F23" s="1">
        <f t="array" ref="F23">COUNTIF($E$4:$E$64,"&gt;"&amp;E23)+1+SUMPRODUCT(--($E$4:$E$64=E23),--($D$4:$D$64&lt;D23))</f>
        <v>20</v>
      </c>
      <c r="G23" s="1" t="str">
        <f t="shared" si="1"/>
        <v>20th</v>
      </c>
      <c r="H23" s="6">
        <f>VLOOKUP(F23,League_Points!$A$2:$B$61,2)</f>
        <v>31</v>
      </c>
      <c r="J23" s="22">
        <f>IF(LEN(B23)-LEN(SUBSTITUTE(B23,"&amp;",""))&gt;0,CONCATENATE(COUNTIF('League Results'!$D$5:$D$64,MID(B23,1,FIND(" &amp; ",B23)-1)),"-",COUNTIF('League Results'!$D$5:$D$64,MID(B23,FIND(" &amp; ",B23)+3,LEN(B23)))),COUNTIF('League Results'!$D$5:$D$64,B23))</f>
        <v>0</v>
      </c>
    </row>
    <row r="24" spans="2:10" x14ac:dyDescent="0.35">
      <c r="B24" s="5"/>
      <c r="C24" s="1">
        <v>480</v>
      </c>
      <c r="D24" s="1">
        <v>60</v>
      </c>
      <c r="E24" s="1">
        <f t="shared" si="0"/>
        <v>420</v>
      </c>
      <c r="F24" s="1">
        <f t="array" ref="F24">COUNTIF($E$4:$E$64,"&gt;"&amp;E24)+1+SUMPRODUCT(--($E$4:$E$64=E24),--($D$4:$D$64&lt;D24))</f>
        <v>21</v>
      </c>
      <c r="G24" s="1" t="str">
        <f t="shared" si="1"/>
        <v>21st</v>
      </c>
      <c r="H24" s="6">
        <f>VLOOKUP(F24,League_Points!$A$2:$B$61,2)</f>
        <v>30</v>
      </c>
      <c r="J24" s="22">
        <f>IF(LEN(B24)-LEN(SUBSTITUTE(B24,"&amp;",""))&gt;0,CONCATENATE(COUNTIF('League Results'!$D$5:$D$64,MID(B24,1,FIND(" &amp; ",B24)-1)),"-",COUNTIF('League Results'!$D$5:$D$64,MID(B24,FIND(" &amp; ",B24)+3,LEN(B24)))),COUNTIF('League Results'!$D$5:$D$64,B24))</f>
        <v>0</v>
      </c>
    </row>
    <row r="25" spans="2:10" x14ac:dyDescent="0.35">
      <c r="B25" s="5"/>
      <c r="C25" s="1">
        <v>310</v>
      </c>
      <c r="D25" s="1">
        <v>30</v>
      </c>
      <c r="E25" s="1">
        <f t="shared" si="0"/>
        <v>280</v>
      </c>
      <c r="F25" s="1">
        <f t="array" ref="F25">COUNTIF($E$4:$E$64,"&gt;"&amp;E25)+1+SUMPRODUCT(--($E$4:$E$64=E25),--($D$4:$D$64&lt;D25))</f>
        <v>22</v>
      </c>
      <c r="G25" s="1" t="str">
        <f t="shared" si="1"/>
        <v>22nd</v>
      </c>
      <c r="H25" s="6">
        <f>VLOOKUP(F25,League_Points!$A$2:$B$61,2)</f>
        <v>29</v>
      </c>
      <c r="J25" s="22">
        <f>IF(LEN(B25)-LEN(SUBSTITUTE(B25,"&amp;",""))&gt;0,CONCATENATE(COUNTIF('League Results'!$D$5:$D$64,MID(B25,1,FIND(" &amp; ",B25)-1)),"-",COUNTIF('League Results'!$D$5:$D$64,MID(B25,FIND(" &amp; ",B25)+3,LEN(B25)))),COUNTIF('League Results'!$D$5:$D$64,B25))</f>
        <v>0</v>
      </c>
    </row>
    <row r="26" spans="2:10" x14ac:dyDescent="0.35">
      <c r="B26" s="5"/>
      <c r="C26" s="1" t="s">
        <v>22</v>
      </c>
      <c r="D26" s="1"/>
      <c r="E26" s="1"/>
      <c r="F26" s="1">
        <f t="array" ref="F26">COUNTIF($E$4:$E$64,"&gt;"&amp;E26)+1+SUMPRODUCT(--($E$4:$E$64=E26),--($D$4:$D$64&lt;D26))</f>
        <v>1</v>
      </c>
      <c r="G26" s="1"/>
      <c r="H26" s="6" t="s">
        <v>23</v>
      </c>
      <c r="J26" s="22">
        <f>IF(LEN(B26)-LEN(SUBSTITUTE(B26,"&amp;",""))&gt;0,CONCATENATE(COUNTIF('League Results'!$D$5:$D$64,MID(B26,1,FIND(" &amp; ",B26)-1)),"-",COUNTIF('League Results'!$D$5:$D$64,MID(B26,FIND(" &amp; ",B26)+3,LEN(B26)))),COUNTIF('League Results'!$D$5:$D$64,B26))</f>
        <v>0</v>
      </c>
    </row>
    <row r="27" spans="2:10" ht="16" thickBot="1" x14ac:dyDescent="0.4">
      <c r="B27" s="7"/>
      <c r="C27" s="8" t="s">
        <v>22</v>
      </c>
      <c r="D27" s="8"/>
      <c r="E27" s="8"/>
      <c r="F27" s="8"/>
      <c r="G27" s="8"/>
      <c r="H27" s="9" t="s">
        <v>23</v>
      </c>
      <c r="J27" s="23">
        <f>IF(LEN(B27)-LEN(SUBSTITUTE(B27,"&amp;",""))&gt;0,CONCATENATE(COUNTIF('League Results'!$D$5:$D$64,MID(B27,1,FIND(" &amp; ",B27)-1)),"-",COUNTIF('League Results'!$D$5:$D$64,MID(B27,FIND(" &amp; ",B27)+3,LEN(B27)))),COUNTIF('League Results'!$D$5:$D$64,B27))</f>
        <v>0</v>
      </c>
    </row>
    <row r="29" spans="2:10" ht="71.25" customHeight="1" x14ac:dyDescent="0.35">
      <c r="B29" s="62" t="s">
        <v>24</v>
      </c>
      <c r="C29" s="62"/>
      <c r="D29" s="62"/>
      <c r="E29" s="62"/>
      <c r="F29" s="62"/>
      <c r="G29" s="62"/>
      <c r="H29" s="62"/>
    </row>
    <row r="31" spans="2:10" ht="64" customHeight="1" x14ac:dyDescent="0.35">
      <c r="B31" s="62" t="s">
        <v>25</v>
      </c>
      <c r="C31" s="62"/>
      <c r="D31" s="62"/>
      <c r="E31" s="62"/>
      <c r="F31" s="62"/>
      <c r="G31" s="62"/>
      <c r="H31" s="62"/>
    </row>
  </sheetData>
  <autoFilter ref="B3:H3" xr:uid="{00000000-0009-0000-0000-000005000000}">
    <sortState xmlns:xlrd2="http://schemas.microsoft.com/office/spreadsheetml/2017/richdata2" ref="B4:H42">
      <sortCondition descending="1" ref="E3"/>
    </sortState>
  </autoFilter>
  <mergeCells count="3">
    <mergeCell ref="B2:H2"/>
    <mergeCell ref="B29:H29"/>
    <mergeCell ref="B31:H31"/>
  </mergeCells>
  <conditionalFormatting sqref="J4:J27">
    <cfRule type="expression" dxfId="10" priority="2">
      <formula>AND($J4&lt;&gt;1,$J4&lt;&gt;"1-1")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fitToPage="1"/>
  </sheetPr>
  <dimension ref="B1:J31"/>
  <sheetViews>
    <sheetView workbookViewId="0">
      <selection activeCell="M10" sqref="M10"/>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TBC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x14ac:dyDescent="0.35">
      <c r="B4" s="2"/>
      <c r="C4" s="53">
        <v>980</v>
      </c>
      <c r="D4" s="3"/>
      <c r="E4" s="3">
        <f t="shared" ref="E4:E25" si="0">C4-D4</f>
        <v>980</v>
      </c>
      <c r="F4" s="3">
        <f t="array" ref="F4">COUNTIF($E$4:$E$64,"&gt;"&amp;E4)+1+SUMPRODUCT(--($E$4:$E$64=E4),--($D$4:$D$64&lt;D4))</f>
        <v>1</v>
      </c>
      <c r="G4" s="3" t="str">
        <f t="shared" ref="G4:G25" si="1">F4&amp;IF(AND(MOD(ABS(F4),100)&gt;10,MOD(ABS(F4),100)&lt;14),"th",CHOOSE(MOD(ABS(F4),10)+1,"th","st","nd","rd","th","th","th","th","th","th"))</f>
        <v>1st</v>
      </c>
      <c r="H4" s="4">
        <f>VLOOKUP(F4,League_Points!$A$2:$B$61,2)</f>
        <v>50</v>
      </c>
      <c r="J4" s="24">
        <f>IF(LEN(B4)-LEN(SUBSTITUTE(B4,"&amp;",""))&gt;0,CONCATENATE(COUNTIF('League Results'!$D$5:$D$64,MID(B4,1,FIND(" &amp; ",B4)-1)),"-",COUNTIF('League Results'!$D$5:$D$64,MID(B4,FIND(" &amp; ",B4)+3,LEN(B4)))),COUNTIF('League Results'!$D$5:$D$64,B4))</f>
        <v>0</v>
      </c>
    </row>
    <row r="5" spans="2:10" x14ac:dyDescent="0.35">
      <c r="B5" s="5"/>
      <c r="C5" s="53">
        <v>960</v>
      </c>
      <c r="D5" s="1">
        <v>90</v>
      </c>
      <c r="E5" s="1">
        <f t="shared" si="0"/>
        <v>870</v>
      </c>
      <c r="F5" s="1">
        <f t="array" ref="F5">COUNTIF($E$4:$E$64,"&gt;"&amp;E5)+1+SUMPRODUCT(--($E$4:$E$64=E5),--($D$4:$D$64&lt;D5))</f>
        <v>2</v>
      </c>
      <c r="G5" s="1" t="str">
        <f t="shared" si="1"/>
        <v>2nd</v>
      </c>
      <c r="H5" s="6">
        <f>VLOOKUP(F5,League_Points!$A$2:$B$61,2)</f>
        <v>49</v>
      </c>
      <c r="J5" s="22">
        <f>IF(LEN(B5)-LEN(SUBSTITUTE(B5,"&amp;",""))&gt;0,CONCATENATE(COUNTIF('League Results'!$D$5:$D$64,MID(B5,1,FIND(" &amp; ",B5)-1)),"-",COUNTIF('League Results'!$D$5:$D$64,MID(B5,FIND(" &amp; ",B5)+3,LEN(B5)))),COUNTIF('League Results'!$D$5:$D$64,B5))</f>
        <v>0</v>
      </c>
    </row>
    <row r="6" spans="2:10" x14ac:dyDescent="0.35">
      <c r="B6" s="5"/>
      <c r="C6" s="53">
        <v>810</v>
      </c>
      <c r="D6" s="1"/>
      <c r="E6" s="1">
        <f t="shared" si="0"/>
        <v>810</v>
      </c>
      <c r="F6" s="1">
        <f t="array" ref="F6">COUNTIF($E$4:$E$64,"&gt;"&amp;E6)+1+SUMPRODUCT(--($E$4:$E$64=E6),--($D$4:$D$64&lt;D6))</f>
        <v>3</v>
      </c>
      <c r="G6" s="1" t="str">
        <f t="shared" si="1"/>
        <v>3rd</v>
      </c>
      <c r="H6" s="6">
        <f>VLOOKUP(F6,League_Points!$A$2:$B$61,2)</f>
        <v>48</v>
      </c>
      <c r="J6" s="22">
        <f>IF(LEN(B6)-LEN(SUBSTITUTE(B6,"&amp;",""))&gt;0,CONCATENATE(COUNTIF('League Results'!$D$5:$D$64,MID(B6,1,FIND(" &amp; ",B6)-1)),"-",COUNTIF('League Results'!$D$5:$D$64,MID(B6,FIND(" &amp; ",B6)+3,LEN(B6)))),COUNTIF('League Results'!$D$5:$D$64,B6))</f>
        <v>0</v>
      </c>
    </row>
    <row r="7" spans="2:10" x14ac:dyDescent="0.35">
      <c r="B7" s="5"/>
      <c r="C7" s="53">
        <v>790</v>
      </c>
      <c r="D7" s="1"/>
      <c r="E7" s="1">
        <f t="shared" si="0"/>
        <v>790</v>
      </c>
      <c r="F7" s="1">
        <f t="array" ref="F7">COUNTIF($E$4:$E$64,"&gt;"&amp;E7)+1+SUMPRODUCT(--($E$4:$E$64=E7),--($D$4:$D$64&lt;D7))</f>
        <v>4</v>
      </c>
      <c r="G7" s="1" t="str">
        <f t="shared" si="1"/>
        <v>4th</v>
      </c>
      <c r="H7" s="6">
        <f>VLOOKUP(F7,League_Points!$A$2:$B$61,2)</f>
        <v>47</v>
      </c>
      <c r="J7" s="22">
        <f>IF(LEN(B7)-LEN(SUBSTITUTE(B7,"&amp;",""))&gt;0,CONCATENATE(COUNTIF('League Results'!$D$5:$D$64,MID(B7,1,FIND(" &amp; ",B7)-1)),"-",COUNTIF('League Results'!$D$5:$D$64,MID(B7,FIND(" &amp; ",B7)+3,LEN(B7)))),COUNTIF('League Results'!$D$5:$D$64,B7))</f>
        <v>0</v>
      </c>
    </row>
    <row r="8" spans="2:10" x14ac:dyDescent="0.35">
      <c r="B8" s="5"/>
      <c r="C8" s="53">
        <v>780</v>
      </c>
      <c r="D8" s="1"/>
      <c r="E8" s="1">
        <f t="shared" si="0"/>
        <v>780</v>
      </c>
      <c r="F8" s="1">
        <f t="array" ref="F8">COUNTIF($E$4:$E$64,"&gt;"&amp;E8)+1+SUMPRODUCT(--($E$4:$E$64=E8),--($D$4:$D$64&lt;D8))</f>
        <v>5</v>
      </c>
      <c r="G8" s="1" t="str">
        <f t="shared" si="1"/>
        <v>5th</v>
      </c>
      <c r="H8" s="6">
        <f>VLOOKUP(F8,League_Points!$A$2:$B$61,2)</f>
        <v>46</v>
      </c>
      <c r="J8" s="22">
        <f>IF(LEN(B8)-LEN(SUBSTITUTE(B8,"&amp;",""))&gt;0,CONCATENATE(COUNTIF('League Results'!$D$5:$D$64,MID(B8,1,FIND(" &amp; ",B8)-1)),"-",COUNTIF('League Results'!$D$5:$D$64,MID(B8,FIND(" &amp; ",B8)+3,LEN(B8)))),COUNTIF('League Results'!$D$5:$D$64,B8))</f>
        <v>0</v>
      </c>
    </row>
    <row r="9" spans="2:10" x14ac:dyDescent="0.35">
      <c r="B9" s="5"/>
      <c r="C9" s="53">
        <v>760</v>
      </c>
      <c r="D9" s="1"/>
      <c r="E9" s="1">
        <f t="shared" si="0"/>
        <v>760</v>
      </c>
      <c r="F9" s="1">
        <f t="array" ref="F9">COUNTIF($E$4:$E$64,"&gt;"&amp;E9)+1+SUMPRODUCT(--($E$4:$E$64=E9),--($D$4:$D$64&lt;D9))</f>
        <v>6</v>
      </c>
      <c r="G9" s="1" t="str">
        <f t="shared" si="1"/>
        <v>6th</v>
      </c>
      <c r="H9" s="6">
        <f>VLOOKUP(F9,League_Points!$A$2:$B$61,2)</f>
        <v>45</v>
      </c>
      <c r="J9" s="22">
        <f>IF(LEN(B9)-LEN(SUBSTITUTE(B9,"&amp;",""))&gt;0,CONCATENATE(COUNTIF('League Results'!$D$5:$D$64,MID(B9,1,FIND(" &amp; ",B9)-1)),"-",COUNTIF('League Results'!$D$5:$D$64,MID(B9,FIND(" &amp; ",B9)+3,LEN(B9)))),COUNTIF('League Results'!$D$5:$D$64,B9))</f>
        <v>0</v>
      </c>
    </row>
    <row r="10" spans="2:10" x14ac:dyDescent="0.35">
      <c r="B10" s="5"/>
      <c r="C10" s="53">
        <v>750</v>
      </c>
      <c r="D10" s="1"/>
      <c r="E10" s="1">
        <f t="shared" si="0"/>
        <v>750</v>
      </c>
      <c r="F10" s="1">
        <f t="array" ref="F10">COUNTIF($E$4:$E$64,"&gt;"&amp;E10)+1+SUMPRODUCT(--($E$4:$E$64=E10),--($D$4:$D$64&lt;D10))</f>
        <v>7</v>
      </c>
      <c r="G10" s="1" t="str">
        <f t="shared" si="1"/>
        <v>7th</v>
      </c>
      <c r="H10" s="6">
        <f>VLOOKUP(F10,League_Points!$A$2:$B$61,2)</f>
        <v>44</v>
      </c>
      <c r="J10" s="22">
        <f>IF(LEN(B10)-LEN(SUBSTITUTE(B10,"&amp;",""))&gt;0,CONCATENATE(COUNTIF('League Results'!$D$5:$D$64,MID(B10,1,FIND(" &amp; ",B10)-1)),"-",COUNTIF('League Results'!$D$5:$D$64,MID(B10,FIND(" &amp; ",B10)+3,LEN(B10)))),COUNTIF('League Results'!$D$5:$D$64,B10))</f>
        <v>0</v>
      </c>
    </row>
    <row r="11" spans="2:10" x14ac:dyDescent="0.35">
      <c r="B11" s="5"/>
      <c r="C11" s="53">
        <v>690</v>
      </c>
      <c r="D11" s="1"/>
      <c r="E11" s="1">
        <f t="shared" si="0"/>
        <v>690</v>
      </c>
      <c r="F11" s="1">
        <f t="array" ref="F11">COUNTIF($E$4:$E$64,"&gt;"&amp;E11)+1+SUMPRODUCT(--($E$4:$E$64=E11),--($D$4:$D$64&lt;D11))</f>
        <v>8</v>
      </c>
      <c r="G11" s="1" t="str">
        <f t="shared" si="1"/>
        <v>8th</v>
      </c>
      <c r="H11" s="6">
        <f>VLOOKUP(F11,League_Points!$A$2:$B$61,2)</f>
        <v>43</v>
      </c>
      <c r="J11" s="22">
        <f>IF(LEN(B11)-LEN(SUBSTITUTE(B11,"&amp;",""))&gt;0,CONCATENATE(COUNTIF('League Results'!$D$5:$D$64,MID(B11,1,FIND(" &amp; ",B11)-1)),"-",COUNTIF('League Results'!$D$5:$D$64,MID(B11,FIND(" &amp; ",B11)+3,LEN(B11)))),COUNTIF('League Results'!$D$5:$D$64,B11))</f>
        <v>0</v>
      </c>
    </row>
    <row r="12" spans="2:10" x14ac:dyDescent="0.35">
      <c r="B12" s="5"/>
      <c r="C12" s="53">
        <v>680</v>
      </c>
      <c r="D12" s="1"/>
      <c r="E12" s="1">
        <f t="shared" si="0"/>
        <v>680</v>
      </c>
      <c r="F12" s="1">
        <f t="array" ref="F12">COUNTIF($E$4:$E$64,"&gt;"&amp;E12)+1+SUMPRODUCT(--($E$4:$E$64=E12),--($D$4:$D$64&lt;D12))</f>
        <v>9</v>
      </c>
      <c r="G12" s="1" t="str">
        <f t="shared" si="1"/>
        <v>9th</v>
      </c>
      <c r="H12" s="6">
        <f>VLOOKUP(F12,League_Points!$A$2:$B$61,2)</f>
        <v>42</v>
      </c>
      <c r="J12" s="22">
        <f>IF(LEN(B12)-LEN(SUBSTITUTE(B12,"&amp;",""))&gt;0,CONCATENATE(COUNTIF('League Results'!$D$5:$D$64,MID(B12,1,FIND(" &amp; ",B12)-1)),"-",COUNTIF('League Results'!$D$5:$D$64,MID(B12,FIND(" &amp; ",B12)+3,LEN(B12)))),COUNTIF('League Results'!$D$5:$D$64,B12))</f>
        <v>0</v>
      </c>
    </row>
    <row r="13" spans="2:10" x14ac:dyDescent="0.35">
      <c r="B13" s="5"/>
      <c r="C13" s="53">
        <v>730</v>
      </c>
      <c r="D13" s="1">
        <v>60</v>
      </c>
      <c r="E13" s="1">
        <f t="shared" si="0"/>
        <v>670</v>
      </c>
      <c r="F13" s="1">
        <f t="array" ref="F13">COUNTIF($E$4:$E$64,"&gt;"&amp;E13)+1+SUMPRODUCT(--($E$4:$E$64=E13),--($D$4:$D$64&lt;D13))</f>
        <v>10</v>
      </c>
      <c r="G13" s="1" t="str">
        <f t="shared" si="1"/>
        <v>10th</v>
      </c>
      <c r="H13" s="6">
        <f>VLOOKUP(F13,League_Points!$A$2:$B$61,2)</f>
        <v>41</v>
      </c>
      <c r="J13" s="22">
        <f>IF(LEN(B13)-LEN(SUBSTITUTE(B13,"&amp;",""))&gt;0,CONCATENATE(COUNTIF('League Results'!$D$5:$D$64,MID(B13,1,FIND(" &amp; ",B13)-1)),"-",COUNTIF('League Results'!$D$5:$D$64,MID(B13,FIND(" &amp; ",B13)+3,LEN(B13)))),COUNTIF('League Results'!$D$5:$D$64,B13))</f>
        <v>0</v>
      </c>
    </row>
    <row r="14" spans="2:10" x14ac:dyDescent="0.35">
      <c r="B14" s="5"/>
      <c r="C14" s="53">
        <v>730</v>
      </c>
      <c r="D14" s="1">
        <v>60</v>
      </c>
      <c r="E14" s="1">
        <f t="shared" si="0"/>
        <v>670</v>
      </c>
      <c r="F14" s="1">
        <f t="array" ref="F14">COUNTIF($E$4:$E$64,"&gt;"&amp;E14)+1+SUMPRODUCT(--($E$4:$E$64=E14),--($D$4:$D$64&lt;D14))</f>
        <v>10</v>
      </c>
      <c r="G14" s="1" t="str">
        <f t="shared" si="1"/>
        <v>10th</v>
      </c>
      <c r="H14" s="6">
        <f>VLOOKUP(F14,League_Points!$A$2:$B$61,2)</f>
        <v>41</v>
      </c>
      <c r="J14" s="22">
        <f>IF(LEN(B14)-LEN(SUBSTITUTE(B14,"&amp;",""))&gt;0,CONCATENATE(COUNTIF('League Results'!$D$5:$D$64,MID(B14,1,FIND(" &amp; ",B14)-1)),"-",COUNTIF('League Results'!$D$5:$D$64,MID(B14,FIND(" &amp; ",B14)+3,LEN(B14)))),COUNTIF('League Results'!$D$5:$D$64,B14))</f>
        <v>0</v>
      </c>
    </row>
    <row r="15" spans="2:10" x14ac:dyDescent="0.35">
      <c r="B15" s="5"/>
      <c r="C15" s="53">
        <v>640</v>
      </c>
      <c r="D15" s="1"/>
      <c r="E15" s="1">
        <f t="shared" si="0"/>
        <v>640</v>
      </c>
      <c r="F15" s="1">
        <f t="array" ref="F15">COUNTIF($E$4:$E$64,"&gt;"&amp;E15)+1+SUMPRODUCT(--($E$4:$E$64=E15),--($D$4:$D$64&lt;D15))</f>
        <v>12</v>
      </c>
      <c r="G15" s="1" t="str">
        <f t="shared" si="1"/>
        <v>12th</v>
      </c>
      <c r="H15" s="6">
        <f>VLOOKUP(F15,League_Points!$A$2:$B$61,2)</f>
        <v>39</v>
      </c>
      <c r="J15" s="22">
        <f>IF(LEN(B15)-LEN(SUBSTITUTE(B15,"&amp;",""))&gt;0,CONCATENATE(COUNTIF('League Results'!$D$5:$D$64,MID(B15,1,FIND(" &amp; ",B15)-1)),"-",COUNTIF('League Results'!$D$5:$D$64,MID(B15,FIND(" &amp; ",B15)+3,LEN(B15)))),COUNTIF('League Results'!$D$5:$D$64,B15))</f>
        <v>0</v>
      </c>
    </row>
    <row r="16" spans="2:10" x14ac:dyDescent="0.35">
      <c r="B16" s="5"/>
      <c r="C16" s="53">
        <v>690</v>
      </c>
      <c r="D16" s="1">
        <v>120</v>
      </c>
      <c r="E16" s="1">
        <f t="shared" si="0"/>
        <v>570</v>
      </c>
      <c r="F16" s="1">
        <f t="array" ref="F16">COUNTIF($E$4:$E$64,"&gt;"&amp;E16)+1+SUMPRODUCT(--($E$4:$E$64=E16),--($D$4:$D$64&lt;D16))</f>
        <v>13</v>
      </c>
      <c r="G16" s="1" t="str">
        <f t="shared" si="1"/>
        <v>13th</v>
      </c>
      <c r="H16" s="6">
        <f>VLOOKUP(F16,League_Points!$A$2:$B$61,2)</f>
        <v>38</v>
      </c>
      <c r="J16" s="22">
        <f>IF(LEN(B16)-LEN(SUBSTITUTE(B16,"&amp;",""))&gt;0,CONCATENATE(COUNTIF('League Results'!$D$5:$D$64,MID(B16,1,FIND(" &amp; ",B16)-1)),"-",COUNTIF('League Results'!$D$5:$D$64,MID(B16,FIND(" &amp; ",B16)+3,LEN(B16)))),COUNTIF('League Results'!$D$5:$D$64,B16))</f>
        <v>0</v>
      </c>
    </row>
    <row r="17" spans="2:10" x14ac:dyDescent="0.35">
      <c r="B17" s="5"/>
      <c r="C17" s="53">
        <v>550</v>
      </c>
      <c r="D17" s="1"/>
      <c r="E17" s="1">
        <f t="shared" si="0"/>
        <v>550</v>
      </c>
      <c r="F17" s="1">
        <f t="array" ref="F17">COUNTIF($E$4:$E$64,"&gt;"&amp;E17)+1+SUMPRODUCT(--($E$4:$E$64=E17),--($D$4:$D$64&lt;D17))</f>
        <v>14</v>
      </c>
      <c r="G17" s="1" t="str">
        <f t="shared" si="1"/>
        <v>14th</v>
      </c>
      <c r="H17" s="6">
        <f>VLOOKUP(F17,League_Points!$A$2:$B$61,2)</f>
        <v>37</v>
      </c>
      <c r="J17" s="22">
        <f>IF(LEN(B17)-LEN(SUBSTITUTE(B17,"&amp;",""))&gt;0,CONCATENATE(COUNTIF('League Results'!$D$5:$D$64,MID(B17,1,FIND(" &amp; ",B17)-1)),"-",COUNTIF('League Results'!$D$5:$D$64,MID(B17,FIND(" &amp; ",B17)+3,LEN(B17)))),COUNTIF('League Results'!$D$5:$D$64,B17))</f>
        <v>0</v>
      </c>
    </row>
    <row r="18" spans="2:10" x14ac:dyDescent="0.35">
      <c r="B18" s="5"/>
      <c r="C18" s="53">
        <v>550</v>
      </c>
      <c r="D18" s="1">
        <v>30</v>
      </c>
      <c r="E18" s="1">
        <f t="shared" si="0"/>
        <v>520</v>
      </c>
      <c r="F18" s="1">
        <f t="array" ref="F18">COUNTIF($E$4:$E$64,"&gt;"&amp;E18)+1+SUMPRODUCT(--($E$4:$E$64=E18),--($D$4:$D$64&lt;D18))</f>
        <v>15</v>
      </c>
      <c r="G18" s="1" t="str">
        <f t="shared" si="1"/>
        <v>15th</v>
      </c>
      <c r="H18" s="6">
        <f>VLOOKUP(F18,League_Points!$A$2:$B$61,2)</f>
        <v>36</v>
      </c>
      <c r="J18" s="22">
        <f>IF(LEN(B18)-LEN(SUBSTITUTE(B18,"&amp;",""))&gt;0,CONCATENATE(COUNTIF('League Results'!$D$5:$D$64,MID(B18,1,FIND(" &amp; ",B18)-1)),"-",COUNTIF('League Results'!$D$5:$D$64,MID(B18,FIND(" &amp; ",B18)+3,LEN(B18)))),COUNTIF('League Results'!$D$5:$D$64,B18))</f>
        <v>0</v>
      </c>
    </row>
    <row r="19" spans="2:10" x14ac:dyDescent="0.35">
      <c r="B19" s="5"/>
      <c r="C19" s="53">
        <v>470</v>
      </c>
      <c r="D19" s="1"/>
      <c r="E19" s="1">
        <f t="shared" si="0"/>
        <v>470</v>
      </c>
      <c r="F19" s="1">
        <f t="array" ref="F19">COUNTIF($E$4:$E$64,"&gt;"&amp;E19)+1+SUMPRODUCT(--($E$4:$E$64=E19),--($D$4:$D$64&lt;D19))</f>
        <v>16</v>
      </c>
      <c r="G19" s="1" t="str">
        <f t="shared" si="1"/>
        <v>16th</v>
      </c>
      <c r="H19" s="6">
        <f>VLOOKUP(F19,League_Points!$A$2:$B$61,2)</f>
        <v>35</v>
      </c>
      <c r="J19" s="22">
        <f>IF(LEN(B19)-LEN(SUBSTITUTE(B19,"&amp;",""))&gt;0,CONCATENATE(COUNTIF('League Results'!$D$5:$D$64,MID(B19,1,FIND(" &amp; ",B19)-1)),"-",COUNTIF('League Results'!$D$5:$D$64,MID(B19,FIND(" &amp; ",B19)+3,LEN(B19)))),COUNTIF('League Results'!$D$5:$D$64,B19))</f>
        <v>0</v>
      </c>
    </row>
    <row r="20" spans="2:10" x14ac:dyDescent="0.35">
      <c r="B20" s="5"/>
      <c r="C20" s="53">
        <v>460</v>
      </c>
      <c r="D20" s="1"/>
      <c r="E20" s="1">
        <f t="shared" si="0"/>
        <v>460</v>
      </c>
      <c r="F20" s="1">
        <f t="array" ref="F20">COUNTIF($E$4:$E$64,"&gt;"&amp;E20)+1+SUMPRODUCT(--($E$4:$E$64=E20),--($D$4:$D$64&lt;D20))</f>
        <v>17</v>
      </c>
      <c r="G20" s="1" t="str">
        <f t="shared" si="1"/>
        <v>17th</v>
      </c>
      <c r="H20" s="6">
        <f>VLOOKUP(F20,League_Points!$A$2:$B$61,2)</f>
        <v>34</v>
      </c>
      <c r="J20" s="22">
        <f>IF(LEN(B20)-LEN(SUBSTITUTE(B20,"&amp;",""))&gt;0,CONCATENATE(COUNTIF('League Results'!$D$5:$D$64,MID(B20,1,FIND(" &amp; ",B20)-1)),"-",COUNTIF('League Results'!$D$5:$D$64,MID(B20,FIND(" &amp; ",B20)+3,LEN(B20)))),COUNTIF('League Results'!$D$5:$D$64,B20))</f>
        <v>0</v>
      </c>
    </row>
    <row r="21" spans="2:10" x14ac:dyDescent="0.35">
      <c r="B21" s="5"/>
      <c r="C21" s="53">
        <v>490</v>
      </c>
      <c r="D21" s="1">
        <v>60</v>
      </c>
      <c r="E21" s="1">
        <f t="shared" si="0"/>
        <v>430</v>
      </c>
      <c r="F21" s="1">
        <f t="array" ref="F21">COUNTIF($E$4:$E$64,"&gt;"&amp;E21)+1+SUMPRODUCT(--($E$4:$E$64=E21),--($D$4:$D$64&lt;D21))</f>
        <v>18</v>
      </c>
      <c r="G21" s="1" t="str">
        <f t="shared" si="1"/>
        <v>18th</v>
      </c>
      <c r="H21" s="6">
        <f>VLOOKUP(F21,League_Points!$A$2:$B$61,2)</f>
        <v>33</v>
      </c>
      <c r="J21" s="22">
        <f>IF(LEN(B21)-LEN(SUBSTITUTE(B21,"&amp;",""))&gt;0,CONCATENATE(COUNTIF('League Results'!$D$5:$D$64,MID(B21,1,FIND(" &amp; ",B21)-1)),"-",COUNTIF('League Results'!$D$5:$D$64,MID(B21,FIND(" &amp; ",B21)+3,LEN(B21)))),COUNTIF('League Results'!$D$5:$D$64,B21))</f>
        <v>0</v>
      </c>
    </row>
    <row r="22" spans="2:10" x14ac:dyDescent="0.35">
      <c r="B22" s="5"/>
      <c r="C22" s="53">
        <v>590</v>
      </c>
      <c r="D22" s="1">
        <v>180</v>
      </c>
      <c r="E22" s="1">
        <f t="shared" si="0"/>
        <v>410</v>
      </c>
      <c r="F22" s="1">
        <f t="array" ref="F22">COUNTIF($E$4:$E$64,"&gt;"&amp;E22)+1+SUMPRODUCT(--($E$4:$E$64=E22),--($D$4:$D$64&lt;D22))</f>
        <v>19</v>
      </c>
      <c r="G22" s="1" t="str">
        <f t="shared" si="1"/>
        <v>19th</v>
      </c>
      <c r="H22" s="6">
        <f>VLOOKUP(F22,League_Points!$A$2:$B$61,2)</f>
        <v>32</v>
      </c>
      <c r="J22" s="22">
        <f>IF(LEN(B22)-LEN(SUBSTITUTE(B22,"&amp;",""))&gt;0,CONCATENATE(COUNTIF('League Results'!$D$5:$D$64,MID(B22,1,FIND(" &amp; ",B22)-1)),"-",COUNTIF('League Results'!$D$5:$D$64,MID(B22,FIND(" &amp; ",B22)+3,LEN(B22)))),COUNTIF('League Results'!$D$5:$D$64,B22))</f>
        <v>0</v>
      </c>
    </row>
    <row r="23" spans="2:10" x14ac:dyDescent="0.35">
      <c r="B23" s="5"/>
      <c r="C23" s="53">
        <v>540</v>
      </c>
      <c r="D23" s="1">
        <v>150</v>
      </c>
      <c r="E23" s="1">
        <f t="shared" si="0"/>
        <v>390</v>
      </c>
      <c r="F23" s="1">
        <f t="array" ref="F23">COUNTIF($E$4:$E$64,"&gt;"&amp;E23)+1+SUMPRODUCT(--($E$4:$E$64=E23),--($D$4:$D$64&lt;D23))</f>
        <v>20</v>
      </c>
      <c r="G23" s="1" t="str">
        <f t="shared" si="1"/>
        <v>20th</v>
      </c>
      <c r="H23" s="6">
        <f>VLOOKUP(F23,League_Points!$A$2:$B$61,2)</f>
        <v>31</v>
      </c>
      <c r="J23" s="22">
        <f>IF(LEN(B23)-LEN(SUBSTITUTE(B23,"&amp;",""))&gt;0,CONCATENATE(COUNTIF('League Results'!$D$5:$D$64,MID(B23,1,FIND(" &amp; ",B23)-1)),"-",COUNTIF('League Results'!$D$5:$D$64,MID(B23,FIND(" &amp; ",B23)+3,LEN(B23)))),COUNTIF('League Results'!$D$5:$D$64,B23))</f>
        <v>0</v>
      </c>
    </row>
    <row r="24" spans="2:10" x14ac:dyDescent="0.35">
      <c r="B24" s="5"/>
      <c r="C24" s="53">
        <v>360</v>
      </c>
      <c r="D24" s="1"/>
      <c r="E24" s="1">
        <f t="shared" si="0"/>
        <v>360</v>
      </c>
      <c r="F24" s="1">
        <f t="array" ref="F24">COUNTIF($E$4:$E$64,"&gt;"&amp;E24)+1+SUMPRODUCT(--($E$4:$E$64=E24),--($D$4:$D$64&lt;D24))</f>
        <v>21</v>
      </c>
      <c r="G24" s="1" t="str">
        <f t="shared" si="1"/>
        <v>21st</v>
      </c>
      <c r="H24" s="6">
        <f>VLOOKUP(F24,League_Points!$A$2:$B$61,2)</f>
        <v>30</v>
      </c>
      <c r="J24" s="22">
        <f>IF(LEN(B24)-LEN(SUBSTITUTE(B24,"&amp;",""))&gt;0,CONCATENATE(COUNTIF('League Results'!$D$5:$D$64,MID(B24,1,FIND(" &amp; ",B24)-1)),"-",COUNTIF('League Results'!$D$5:$D$64,MID(B24,FIND(" &amp; ",B24)+3,LEN(B24)))),COUNTIF('League Results'!$D$5:$D$64,B24))</f>
        <v>0</v>
      </c>
    </row>
    <row r="25" spans="2:10" x14ac:dyDescent="0.35">
      <c r="B25" s="5"/>
      <c r="C25" s="53">
        <v>410</v>
      </c>
      <c r="D25" s="1">
        <v>240</v>
      </c>
      <c r="E25" s="1">
        <f t="shared" si="0"/>
        <v>170</v>
      </c>
      <c r="F25" s="1">
        <f t="array" ref="F25">COUNTIF($E$4:$E$64,"&gt;"&amp;E25)+1+SUMPRODUCT(--($E$4:$E$64=E25),--($D$4:$D$64&lt;D25))</f>
        <v>22</v>
      </c>
      <c r="G25" s="1" t="str">
        <f t="shared" si="1"/>
        <v>22nd</v>
      </c>
      <c r="H25" s="6">
        <f>VLOOKUP(F25,League_Points!$A$2:$B$61,2)</f>
        <v>29</v>
      </c>
      <c r="J25" s="22">
        <f>IF(LEN(B25)-LEN(SUBSTITUTE(B25,"&amp;",""))&gt;0,CONCATENATE(COUNTIF('League Results'!$D$5:$D$64,MID(B25,1,FIND(" &amp; ",B25)-1)),"-",COUNTIF('League Results'!$D$5:$D$64,MID(B25,FIND(" &amp; ",B25)+3,LEN(B25)))),COUNTIF('League Results'!$D$5:$D$64,B25))</f>
        <v>0</v>
      </c>
    </row>
    <row r="26" spans="2:10" x14ac:dyDescent="0.35">
      <c r="B26" s="5"/>
      <c r="C26" s="1" t="s">
        <v>22</v>
      </c>
      <c r="D26" s="1"/>
      <c r="E26" s="1"/>
      <c r="F26" s="1"/>
      <c r="G26" s="1"/>
      <c r="H26" s="6" t="s">
        <v>23</v>
      </c>
      <c r="J26" s="22">
        <f>IF(LEN(B26)-LEN(SUBSTITUTE(B26,"&amp;",""))&gt;0,CONCATENATE(COUNTIF('League Results'!$D$5:$D$64,MID(B26,1,FIND(" &amp; ",B26)-1)),"-",COUNTIF('League Results'!$D$5:$D$64,MID(B26,FIND(" &amp; ",B26)+3,LEN(B26)))),COUNTIF('League Results'!$D$5:$D$64,B26))</f>
        <v>0</v>
      </c>
    </row>
    <row r="27" spans="2:10" ht="16" thickBot="1" x14ac:dyDescent="0.4">
      <c r="B27" s="7"/>
      <c r="C27" s="8" t="s">
        <v>22</v>
      </c>
      <c r="D27" s="8"/>
      <c r="E27" s="8"/>
      <c r="F27" s="8"/>
      <c r="G27" s="8"/>
      <c r="H27" s="9" t="s">
        <v>23</v>
      </c>
      <c r="J27" s="23">
        <f>IF(LEN(B27)-LEN(SUBSTITUTE(B27,"&amp;",""))&gt;0,CONCATENATE(COUNTIF('League Results'!$D$5:$D$64,MID(B27,1,FIND(" &amp; ",B27)-1)),"-",COUNTIF('League Results'!$D$5:$D$64,MID(B27,FIND(" &amp; ",B27)+3,LEN(B27)))),COUNTIF('League Results'!$D$5:$D$64,B27))</f>
        <v>0</v>
      </c>
    </row>
    <row r="29" spans="2:10" ht="71.25" customHeight="1" x14ac:dyDescent="0.35">
      <c r="B29" s="62" t="s">
        <v>24</v>
      </c>
      <c r="C29" s="62"/>
      <c r="D29" s="62"/>
      <c r="E29" s="62"/>
      <c r="F29" s="62"/>
      <c r="G29" s="62"/>
      <c r="H29" s="62"/>
    </row>
    <row r="31" spans="2:10" ht="64" customHeight="1" x14ac:dyDescent="0.35">
      <c r="B31" s="62" t="s">
        <v>25</v>
      </c>
      <c r="C31" s="62"/>
      <c r="D31" s="62"/>
      <c r="E31" s="62"/>
      <c r="F31" s="62"/>
      <c r="G31" s="62"/>
      <c r="H31" s="62"/>
    </row>
  </sheetData>
  <autoFilter ref="B3:H3" xr:uid="{00000000-0009-0000-0000-000004000000}">
    <sortState xmlns:xlrd2="http://schemas.microsoft.com/office/spreadsheetml/2017/richdata2" ref="B4:H49">
      <sortCondition descending="1" ref="E3"/>
    </sortState>
  </autoFilter>
  <mergeCells count="3">
    <mergeCell ref="B2:H2"/>
    <mergeCell ref="B29:H29"/>
    <mergeCell ref="B31:H31"/>
  </mergeCells>
  <conditionalFormatting sqref="J27 J4:J25">
    <cfRule type="expression" dxfId="9" priority="4">
      <formula>AND($J4&lt;&gt;1,$J4&lt;&gt;"1-1")</formula>
    </cfRule>
  </conditionalFormatting>
  <conditionalFormatting sqref="J26">
    <cfRule type="expression" dxfId="8" priority="1">
      <formula>AND($J26&lt;&gt;1,$J26&lt;&gt;"1-1")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autoPageBreaks="0" fitToPage="1"/>
  </sheetPr>
  <dimension ref="B1:J60"/>
  <sheetViews>
    <sheetView workbookViewId="0">
      <selection activeCell="D3" sqref="D3"/>
    </sheetView>
  </sheetViews>
  <sheetFormatPr defaultColWidth="8.81640625" defaultRowHeight="15.5" x14ac:dyDescent="0.35"/>
  <cols>
    <col min="1" max="1" width="1.453125" style="21" customWidth="1"/>
    <col min="2" max="2" width="20.7265625" style="19" customWidth="1"/>
    <col min="3" max="5" width="12.7265625" style="20" customWidth="1"/>
    <col min="6" max="6" width="12.7265625" style="20" hidden="1" customWidth="1"/>
    <col min="7" max="8" width="12.7265625" style="20" customWidth="1"/>
    <col min="9" max="9" width="8.81640625" style="21"/>
    <col min="10" max="10" width="11.81640625" style="20" customWidth="1"/>
    <col min="11" max="16384" width="8.81640625" style="21"/>
  </cols>
  <sheetData>
    <row r="1" spans="2:10" ht="10" customHeight="1" thickBot="1" x14ac:dyDescent="0.4"/>
    <row r="2" spans="2:10" ht="36" customHeight="1" thickBot="1" x14ac:dyDescent="0.4">
      <c r="B2" s="59" t="str">
        <f ca="1">CONCATENATE("Mole Valley Winter 2020/21 Street O Series - ",MID(CELL("Filename",A1),FIND("]",CELL("Filename",A1))+1,255), " Results")</f>
        <v>Mole Valley Winter 2020/21 Street O Series - Dorking Results</v>
      </c>
      <c r="C2" s="60"/>
      <c r="D2" s="60"/>
      <c r="E2" s="60"/>
      <c r="F2" s="60"/>
      <c r="G2" s="60"/>
      <c r="H2" s="61"/>
    </row>
    <row r="3" spans="2:10" ht="31.5" thickBot="1" x14ac:dyDescent="0.4">
      <c r="B3" s="10" t="s">
        <v>0</v>
      </c>
      <c r="C3" s="11" t="s">
        <v>1</v>
      </c>
      <c r="D3" s="11" t="s">
        <v>2</v>
      </c>
      <c r="E3" s="11" t="s">
        <v>3</v>
      </c>
      <c r="F3" s="11" t="s">
        <v>4</v>
      </c>
      <c r="G3" s="11" t="s">
        <v>5</v>
      </c>
      <c r="H3" s="42" t="s">
        <v>6</v>
      </c>
      <c r="J3" s="18" t="s">
        <v>7</v>
      </c>
    </row>
    <row r="4" spans="2:10" x14ac:dyDescent="0.35">
      <c r="B4" s="2"/>
      <c r="C4" s="3"/>
      <c r="D4" s="3"/>
      <c r="E4" s="3">
        <f t="shared" ref="E4:E55" si="0">C4-D4</f>
        <v>0</v>
      </c>
      <c r="F4" s="3">
        <f t="array" ref="F4">COUNTIF($E$4:$E$93,"&gt;"&amp;E4)+1+SUMPRODUCT(--($E$4:$E$93=E4),--($D$4:$D$93&lt;D4))</f>
        <v>1</v>
      </c>
      <c r="G4" s="3" t="str">
        <f t="shared" ref="G4:G55" si="1">F4&amp;IF(AND(MOD(ABS(F4),100)&gt;10,MOD(ABS(F4),100)&lt;14),"th",CHOOSE(MOD(ABS(F4),10)+1,"th","st","nd","rd","th","th","th","th","th","th"))</f>
        <v>1st</v>
      </c>
      <c r="H4" s="4">
        <f>VLOOKUP(F4,League_Points!$A$2:$B$61,2)</f>
        <v>50</v>
      </c>
      <c r="J4" s="24">
        <f>IF(LEN(B4)-LEN(SUBSTITUTE(B4,"&amp;",""))&gt;0,CONCATENATE(COUNTIF('League Results'!$D$5:$D$64,MID(B4,1,FIND(" &amp; ",B4)-1)),"-",COUNTIF('League Results'!$D$5:$D$64,MID(B4,FIND(" &amp; ",B4)+3,LEN(B4)))),COUNTIF('League Results'!$D$5:$D$64,B4))</f>
        <v>0</v>
      </c>
    </row>
    <row r="5" spans="2:10" x14ac:dyDescent="0.35">
      <c r="B5" s="5"/>
      <c r="C5" s="1"/>
      <c r="D5" s="1"/>
      <c r="E5" s="1">
        <f t="shared" si="0"/>
        <v>0</v>
      </c>
      <c r="F5" s="1">
        <f t="array" ref="F5">COUNTIF($E$4:$E$93,"&gt;"&amp;E5)+1+SUMPRODUCT(--($E$4:$E$93=E5),--($D$4:$D$93&lt;D5))</f>
        <v>1</v>
      </c>
      <c r="G5" s="1" t="str">
        <f t="shared" si="1"/>
        <v>1st</v>
      </c>
      <c r="H5" s="6">
        <f>VLOOKUP(F5,League_Points!$A$2:$B$61,2)</f>
        <v>50</v>
      </c>
      <c r="J5" s="22">
        <f>IF(LEN(B5)-LEN(SUBSTITUTE(B5,"&amp;",""))&gt;0,CONCATENATE(COUNTIF('League Results'!$D$5:$D$64,MID(B5,1,FIND(" &amp; ",B5)-1)),"-",COUNTIF('League Results'!$D$5:$D$64,MID(B5,FIND(" &amp; ",B5)+3,LEN(B5)))),COUNTIF('League Results'!$D$5:$D$64,B5))</f>
        <v>0</v>
      </c>
    </row>
    <row r="6" spans="2:10" x14ac:dyDescent="0.35">
      <c r="B6" s="5"/>
      <c r="C6" s="1"/>
      <c r="D6" s="1"/>
      <c r="E6" s="1">
        <f t="shared" si="0"/>
        <v>0</v>
      </c>
      <c r="F6" s="1">
        <f t="array" ref="F6">COUNTIF($E$4:$E$93,"&gt;"&amp;E6)+1+SUMPRODUCT(--($E$4:$E$93=E6),--($D$4:$D$93&lt;D6))</f>
        <v>1</v>
      </c>
      <c r="G6" s="1" t="str">
        <f t="shared" si="1"/>
        <v>1st</v>
      </c>
      <c r="H6" s="6">
        <f>VLOOKUP(F6,League_Points!$A$2:$B$61,2)</f>
        <v>50</v>
      </c>
      <c r="J6" s="22">
        <f>IF(LEN(B6)-LEN(SUBSTITUTE(B6,"&amp;",""))&gt;0,CONCATENATE(COUNTIF('League Results'!$D$5:$D$64,MID(B6,1,FIND(" &amp; ",B6)-1)),"-",COUNTIF('League Results'!$D$5:$D$64,MID(B6,FIND(" &amp; ",B6)+3,LEN(B6)))),COUNTIF('League Results'!$D$5:$D$64,B6))</f>
        <v>0</v>
      </c>
    </row>
    <row r="7" spans="2:10" x14ac:dyDescent="0.35">
      <c r="B7" s="5"/>
      <c r="C7" s="1"/>
      <c r="D7" s="1"/>
      <c r="E7" s="1">
        <f t="shared" si="0"/>
        <v>0</v>
      </c>
      <c r="F7" s="1">
        <f t="array" ref="F7">COUNTIF($E$4:$E$93,"&gt;"&amp;E7)+1+SUMPRODUCT(--($E$4:$E$93=E7),--($D$4:$D$93&lt;D7))</f>
        <v>1</v>
      </c>
      <c r="G7" s="1" t="str">
        <f t="shared" si="1"/>
        <v>1st</v>
      </c>
      <c r="H7" s="6">
        <f>VLOOKUP(F7,League_Points!$A$2:$B$61,2)</f>
        <v>50</v>
      </c>
      <c r="J7" s="22">
        <f>IF(LEN(B7)-LEN(SUBSTITUTE(B7,"&amp;",""))&gt;0,CONCATENATE(COUNTIF('League Results'!$D$5:$D$64,MID(B7,1,FIND(" &amp; ",B7)-1)),"-",COUNTIF('League Results'!$D$5:$D$64,MID(B7,FIND(" &amp; ",B7)+3,LEN(B7)))),COUNTIF('League Results'!$D$5:$D$64,B7))</f>
        <v>0</v>
      </c>
    </row>
    <row r="8" spans="2:10" x14ac:dyDescent="0.35">
      <c r="B8" s="5"/>
      <c r="C8" s="1"/>
      <c r="D8" s="1"/>
      <c r="E8" s="1">
        <f t="shared" si="0"/>
        <v>0</v>
      </c>
      <c r="F8" s="1">
        <f t="array" ref="F8">COUNTIF($E$4:$E$93,"&gt;"&amp;E8)+1+SUMPRODUCT(--($E$4:$E$93=E8),--($D$4:$D$93&lt;D8))</f>
        <v>1</v>
      </c>
      <c r="G8" s="1" t="str">
        <f t="shared" si="1"/>
        <v>1st</v>
      </c>
      <c r="H8" s="6">
        <f>VLOOKUP(F8,League_Points!$A$2:$B$61,2)</f>
        <v>50</v>
      </c>
      <c r="J8" s="22">
        <f>IF(LEN(B8)-LEN(SUBSTITUTE(B8,"&amp;",""))&gt;0,CONCATENATE(COUNTIF('League Results'!$D$5:$D$64,MID(B8,1,FIND(" &amp; ",B8)-1)),"-",COUNTIF('League Results'!$D$5:$D$64,MID(B8,FIND(" &amp; ",B8)+3,LEN(B8)))),COUNTIF('League Results'!$D$5:$D$64,B8))</f>
        <v>0</v>
      </c>
    </row>
    <row r="9" spans="2:10" x14ac:dyDescent="0.35">
      <c r="B9" s="5"/>
      <c r="C9" s="1"/>
      <c r="D9" s="1"/>
      <c r="E9" s="1">
        <f t="shared" si="0"/>
        <v>0</v>
      </c>
      <c r="F9" s="1">
        <f t="array" ref="F9">COUNTIF($E$4:$E$93,"&gt;"&amp;E9)+1+SUMPRODUCT(--($E$4:$E$93=E9),--($D$4:$D$93&lt;D9))</f>
        <v>1</v>
      </c>
      <c r="G9" s="1" t="str">
        <f t="shared" si="1"/>
        <v>1st</v>
      </c>
      <c r="H9" s="6">
        <f>VLOOKUP(F9,League_Points!$A$2:$B$61,2)</f>
        <v>50</v>
      </c>
      <c r="J9" s="22">
        <f>IF(LEN(B9)-LEN(SUBSTITUTE(B9,"&amp;",""))&gt;0,CONCATENATE(COUNTIF('League Results'!$D$5:$D$64,MID(B9,1,FIND(" &amp; ",B9)-1)),"-",COUNTIF('League Results'!$D$5:$D$64,MID(B9,FIND(" &amp; ",B9)+3,LEN(B9)))),COUNTIF('League Results'!$D$5:$D$64,B9))</f>
        <v>0</v>
      </c>
    </row>
    <row r="10" spans="2:10" x14ac:dyDescent="0.35">
      <c r="B10" s="5"/>
      <c r="C10" s="1"/>
      <c r="D10" s="1"/>
      <c r="E10" s="1">
        <f t="shared" si="0"/>
        <v>0</v>
      </c>
      <c r="F10" s="1">
        <f t="array" ref="F10">COUNTIF($E$4:$E$93,"&gt;"&amp;E10)+1+SUMPRODUCT(--($E$4:$E$93=E10),--($D$4:$D$93&lt;D10))</f>
        <v>1</v>
      </c>
      <c r="G10" s="1" t="str">
        <f t="shared" si="1"/>
        <v>1st</v>
      </c>
      <c r="H10" s="6">
        <f>VLOOKUP(F10,League_Points!$A$2:$B$61,2)</f>
        <v>50</v>
      </c>
      <c r="J10" s="22">
        <f>IF(LEN(B10)-LEN(SUBSTITUTE(B10,"&amp;",""))&gt;0,CONCATENATE(COUNTIF('League Results'!$D$5:$D$64,MID(B10,1,FIND(" &amp; ",B10)-1)),"-",COUNTIF('League Results'!$D$5:$D$64,MID(B10,FIND(" &amp; ",B10)+3,LEN(B10)))),COUNTIF('League Results'!$D$5:$D$64,B10))</f>
        <v>0</v>
      </c>
    </row>
    <row r="11" spans="2:10" x14ac:dyDescent="0.35">
      <c r="B11" s="5"/>
      <c r="C11" s="1"/>
      <c r="D11" s="1"/>
      <c r="E11" s="1">
        <f t="shared" si="0"/>
        <v>0</v>
      </c>
      <c r="F11" s="1">
        <f t="array" ref="F11">COUNTIF($E$4:$E$93,"&gt;"&amp;E11)+1+SUMPRODUCT(--($E$4:$E$93=E11),--($D$4:$D$93&lt;D11))</f>
        <v>1</v>
      </c>
      <c r="G11" s="1" t="str">
        <f t="shared" si="1"/>
        <v>1st</v>
      </c>
      <c r="H11" s="6">
        <f>VLOOKUP(F11,League_Points!$A$2:$B$61,2)</f>
        <v>50</v>
      </c>
      <c r="J11" s="22">
        <f>IF(LEN(B11)-LEN(SUBSTITUTE(B11,"&amp;",""))&gt;0,CONCATENATE(COUNTIF('League Results'!$D$5:$D$64,MID(B11,1,FIND(" &amp; ",B11)-1)),"-",COUNTIF('League Results'!$D$5:$D$64,MID(B11,FIND(" &amp; ",B11)+3,LEN(B11)))),COUNTIF('League Results'!$D$5:$D$64,B11))</f>
        <v>0</v>
      </c>
    </row>
    <row r="12" spans="2:10" x14ac:dyDescent="0.35">
      <c r="B12" s="5"/>
      <c r="C12" s="1"/>
      <c r="D12" s="1"/>
      <c r="E12" s="1">
        <f t="shared" si="0"/>
        <v>0</v>
      </c>
      <c r="F12" s="1">
        <f t="array" ref="F12">COUNTIF($E$4:$E$93,"&gt;"&amp;E12)+1+SUMPRODUCT(--($E$4:$E$93=E12),--($D$4:$D$93&lt;D12))</f>
        <v>1</v>
      </c>
      <c r="G12" s="1" t="str">
        <f t="shared" si="1"/>
        <v>1st</v>
      </c>
      <c r="H12" s="6">
        <f>VLOOKUP(F12,League_Points!$A$2:$B$61,2)</f>
        <v>50</v>
      </c>
      <c r="J12" s="22">
        <f>IF(LEN(B12)-LEN(SUBSTITUTE(B12,"&amp;",""))&gt;0,CONCATENATE(COUNTIF('League Results'!$D$5:$D$64,MID(B12,1,FIND(" &amp; ",B12)-1)),"-",COUNTIF('League Results'!$D$5:$D$64,MID(B12,FIND(" &amp; ",B12)+3,LEN(B12)))),COUNTIF('League Results'!$D$5:$D$64,B12))</f>
        <v>0</v>
      </c>
    </row>
    <row r="13" spans="2:10" x14ac:dyDescent="0.35">
      <c r="B13" s="5"/>
      <c r="C13" s="1"/>
      <c r="D13" s="1"/>
      <c r="E13" s="1">
        <f t="shared" si="0"/>
        <v>0</v>
      </c>
      <c r="F13" s="1">
        <f t="array" ref="F13">COUNTIF($E$4:$E$93,"&gt;"&amp;E13)+1+SUMPRODUCT(--($E$4:$E$93=E13),--($D$4:$D$93&lt;D13))</f>
        <v>1</v>
      </c>
      <c r="G13" s="1" t="str">
        <f t="shared" si="1"/>
        <v>1st</v>
      </c>
      <c r="H13" s="6">
        <f>VLOOKUP(F13,League_Points!$A$2:$B$61,2)</f>
        <v>50</v>
      </c>
      <c r="J13" s="22">
        <f>IF(LEN(B13)-LEN(SUBSTITUTE(B13,"&amp;",""))&gt;0,CONCATENATE(COUNTIF('League Results'!$D$5:$D$64,MID(B13,1,FIND(" &amp; ",B13)-1)),"-",COUNTIF('League Results'!$D$5:$D$64,MID(B13,FIND(" &amp; ",B13)+3,LEN(B13)))),COUNTIF('League Results'!$D$5:$D$64,B13))</f>
        <v>0</v>
      </c>
    </row>
    <row r="14" spans="2:10" x14ac:dyDescent="0.35">
      <c r="B14" s="5"/>
      <c r="C14" s="1"/>
      <c r="D14" s="1"/>
      <c r="E14" s="1">
        <f t="shared" si="0"/>
        <v>0</v>
      </c>
      <c r="F14" s="1">
        <f t="array" ref="F14">COUNTIF($E$4:$E$93,"&gt;"&amp;E14)+1+SUMPRODUCT(--($E$4:$E$93=E14),--($D$4:$D$93&lt;D14))</f>
        <v>1</v>
      </c>
      <c r="G14" s="1" t="str">
        <f t="shared" si="1"/>
        <v>1st</v>
      </c>
      <c r="H14" s="6">
        <f>VLOOKUP(F14,League_Points!$A$2:$B$61,2)</f>
        <v>50</v>
      </c>
      <c r="J14" s="22">
        <f>IF(LEN(B14)-LEN(SUBSTITUTE(B14,"&amp;",""))&gt;0,CONCATENATE(COUNTIF('League Results'!$D$5:$D$64,MID(B14,1,FIND(" &amp; ",B14)-1)),"-",COUNTIF('League Results'!$D$5:$D$64,MID(B14,FIND(" &amp; ",B14)+3,LEN(B14)))),COUNTIF('League Results'!$D$5:$D$64,B14))</f>
        <v>0</v>
      </c>
    </row>
    <row r="15" spans="2:10" x14ac:dyDescent="0.35">
      <c r="B15" s="5"/>
      <c r="C15" s="1"/>
      <c r="D15" s="1"/>
      <c r="E15" s="1">
        <f t="shared" si="0"/>
        <v>0</v>
      </c>
      <c r="F15" s="1">
        <f t="array" ref="F15">COUNTIF($E$4:$E$93,"&gt;"&amp;E15)+1+SUMPRODUCT(--($E$4:$E$93=E15),--($D$4:$D$93&lt;D15))</f>
        <v>1</v>
      </c>
      <c r="G15" s="1" t="str">
        <f t="shared" si="1"/>
        <v>1st</v>
      </c>
      <c r="H15" s="6">
        <f>VLOOKUP(F15,League_Points!$A$2:$B$61,2)</f>
        <v>50</v>
      </c>
      <c r="J15" s="22">
        <f>IF(LEN(B15)-LEN(SUBSTITUTE(B15,"&amp;",""))&gt;0,CONCATENATE(COUNTIF('League Results'!$D$5:$D$64,MID(B15,1,FIND(" &amp; ",B15)-1)),"-",COUNTIF('League Results'!$D$5:$D$64,MID(B15,FIND(" &amp; ",B15)+3,LEN(B15)))),COUNTIF('League Results'!$D$5:$D$64,B15))</f>
        <v>0</v>
      </c>
    </row>
    <row r="16" spans="2:10" x14ac:dyDescent="0.35">
      <c r="B16" s="5"/>
      <c r="C16" s="1"/>
      <c r="D16" s="1"/>
      <c r="E16" s="1">
        <f t="shared" si="0"/>
        <v>0</v>
      </c>
      <c r="F16" s="1">
        <f t="array" ref="F16">COUNTIF($E$4:$E$93,"&gt;"&amp;E16)+1+SUMPRODUCT(--($E$4:$E$93=E16),--($D$4:$D$93&lt;D16))</f>
        <v>1</v>
      </c>
      <c r="G16" s="1" t="str">
        <f t="shared" si="1"/>
        <v>1st</v>
      </c>
      <c r="H16" s="6">
        <f>VLOOKUP(F16,League_Points!$A$2:$B$61,2)</f>
        <v>50</v>
      </c>
      <c r="J16" s="22">
        <f>IF(LEN(B16)-LEN(SUBSTITUTE(B16,"&amp;",""))&gt;0,CONCATENATE(COUNTIF('League Results'!$D$5:$D$64,MID(B16,1,FIND(" &amp; ",B16)-1)),"-",COUNTIF('League Results'!$D$5:$D$64,MID(B16,FIND(" &amp; ",B16)+3,LEN(B16)))),COUNTIF('League Results'!$D$5:$D$64,B16))</f>
        <v>0</v>
      </c>
    </row>
    <row r="17" spans="2:10" x14ac:dyDescent="0.35">
      <c r="B17" s="5"/>
      <c r="C17" s="1"/>
      <c r="D17" s="1"/>
      <c r="E17" s="1">
        <f t="shared" si="0"/>
        <v>0</v>
      </c>
      <c r="F17" s="1">
        <f t="array" ref="F17">COUNTIF($E$4:$E$93,"&gt;"&amp;E17)+1+SUMPRODUCT(--($E$4:$E$93=E17),--($D$4:$D$93&lt;D17))</f>
        <v>1</v>
      </c>
      <c r="G17" s="1" t="str">
        <f t="shared" si="1"/>
        <v>1st</v>
      </c>
      <c r="H17" s="6">
        <f>VLOOKUP(F17,League_Points!$A$2:$B$61,2)</f>
        <v>50</v>
      </c>
      <c r="J17" s="22">
        <f>IF(LEN(B17)-LEN(SUBSTITUTE(B17,"&amp;",""))&gt;0,CONCATENATE(COUNTIF('League Results'!$D$5:$D$64,MID(B17,1,FIND(" &amp; ",B17)-1)),"-",COUNTIF('League Results'!$D$5:$D$64,MID(B17,FIND(" &amp; ",B17)+3,LEN(B17)))),COUNTIF('League Results'!$D$5:$D$64,B17))</f>
        <v>0</v>
      </c>
    </row>
    <row r="18" spans="2:10" x14ac:dyDescent="0.35">
      <c r="B18" s="5"/>
      <c r="C18" s="1"/>
      <c r="D18" s="1"/>
      <c r="E18" s="1">
        <f t="shared" si="0"/>
        <v>0</v>
      </c>
      <c r="F18" s="1">
        <f t="array" ref="F18">COUNTIF($E$4:$E$93,"&gt;"&amp;E18)+1+SUMPRODUCT(--($E$4:$E$93=E18),--($D$4:$D$93&lt;D18))</f>
        <v>1</v>
      </c>
      <c r="G18" s="1" t="str">
        <f t="shared" si="1"/>
        <v>1st</v>
      </c>
      <c r="H18" s="6">
        <f>VLOOKUP(F18,League_Points!$A$2:$B$61,2)</f>
        <v>50</v>
      </c>
      <c r="J18" s="22">
        <f>IF(LEN(B18)-LEN(SUBSTITUTE(B18,"&amp;",""))&gt;0,CONCATENATE(COUNTIF('League Results'!$D$5:$D$64,MID(B18,1,FIND(" &amp; ",B18)-1)),"-",COUNTIF('League Results'!$D$5:$D$64,MID(B18,FIND(" &amp; ",B18)+3,LEN(B18)))),COUNTIF('League Results'!$D$5:$D$64,B18))</f>
        <v>0</v>
      </c>
    </row>
    <row r="19" spans="2:10" x14ac:dyDescent="0.35">
      <c r="B19" s="5"/>
      <c r="C19" s="1"/>
      <c r="D19" s="1"/>
      <c r="E19" s="1">
        <f t="shared" si="0"/>
        <v>0</v>
      </c>
      <c r="F19" s="1">
        <f t="array" ref="F19">COUNTIF($E$4:$E$93,"&gt;"&amp;E19)+1+SUMPRODUCT(--($E$4:$E$93=E19),--($D$4:$D$93&lt;D19))</f>
        <v>1</v>
      </c>
      <c r="G19" s="1" t="str">
        <f t="shared" si="1"/>
        <v>1st</v>
      </c>
      <c r="H19" s="6">
        <f>VLOOKUP(F19,League_Points!$A$2:$B$61,2)</f>
        <v>50</v>
      </c>
      <c r="J19" s="22">
        <f>IF(LEN(B19)-LEN(SUBSTITUTE(B19,"&amp;",""))&gt;0,CONCATENATE(COUNTIF('League Results'!$D$5:$D$64,MID(B19,1,FIND(" &amp; ",B19)-1)),"-",COUNTIF('League Results'!$D$5:$D$64,MID(B19,FIND(" &amp; ",B19)+3,LEN(B19)))),COUNTIF('League Results'!$D$5:$D$64,B19))</f>
        <v>0</v>
      </c>
    </row>
    <row r="20" spans="2:10" x14ac:dyDescent="0.35">
      <c r="B20" s="5"/>
      <c r="C20" s="1"/>
      <c r="D20" s="1"/>
      <c r="E20" s="1">
        <f t="shared" si="0"/>
        <v>0</v>
      </c>
      <c r="F20" s="1">
        <f t="array" ref="F20">COUNTIF($E$4:$E$93,"&gt;"&amp;E20)+1+SUMPRODUCT(--($E$4:$E$93=E20),--($D$4:$D$93&lt;D20))</f>
        <v>1</v>
      </c>
      <c r="G20" s="1" t="str">
        <f t="shared" si="1"/>
        <v>1st</v>
      </c>
      <c r="H20" s="6">
        <f>VLOOKUP(F20,League_Points!$A$2:$B$61,2)</f>
        <v>50</v>
      </c>
      <c r="J20" s="22">
        <f>IF(LEN(B20)-LEN(SUBSTITUTE(B20,"&amp;",""))&gt;0,CONCATENATE(COUNTIF('League Results'!$D$5:$D$64,MID(B20,1,FIND(" &amp; ",B20)-1)),"-",COUNTIF('League Results'!$D$5:$D$64,MID(B20,FIND(" &amp; ",B20)+3,LEN(B20)))),COUNTIF('League Results'!$D$5:$D$64,B20))</f>
        <v>0</v>
      </c>
    </row>
    <row r="21" spans="2:10" x14ac:dyDescent="0.35">
      <c r="B21" s="5"/>
      <c r="C21" s="1"/>
      <c r="D21" s="1"/>
      <c r="E21" s="1">
        <f t="shared" si="0"/>
        <v>0</v>
      </c>
      <c r="F21" s="1">
        <f t="array" ref="F21">COUNTIF($E$4:$E$93,"&gt;"&amp;E21)+1+SUMPRODUCT(--($E$4:$E$93=E21),--($D$4:$D$93&lt;D21))</f>
        <v>1</v>
      </c>
      <c r="G21" s="1" t="str">
        <f t="shared" si="1"/>
        <v>1st</v>
      </c>
      <c r="H21" s="6">
        <f>VLOOKUP(F21,League_Points!$A$2:$B$61,2)</f>
        <v>50</v>
      </c>
      <c r="J21" s="22">
        <f>IF(LEN(B21)-LEN(SUBSTITUTE(B21,"&amp;",""))&gt;0,CONCATENATE(COUNTIF('League Results'!$D$5:$D$64,MID(B21,1,FIND(" &amp; ",B21)-1)),"-",COUNTIF('League Results'!$D$5:$D$64,MID(B21,FIND(" &amp; ",B21)+3,LEN(B21)))),COUNTIF('League Results'!$D$5:$D$64,B21))</f>
        <v>0</v>
      </c>
    </row>
    <row r="22" spans="2:10" x14ac:dyDescent="0.35">
      <c r="B22" s="5"/>
      <c r="C22" s="1"/>
      <c r="D22" s="1"/>
      <c r="E22" s="1">
        <f t="shared" si="0"/>
        <v>0</v>
      </c>
      <c r="F22" s="1">
        <f t="array" ref="F22">COUNTIF($E$4:$E$93,"&gt;"&amp;E22)+1+SUMPRODUCT(--($E$4:$E$93=E22),--($D$4:$D$93&lt;D22))</f>
        <v>1</v>
      </c>
      <c r="G22" s="1" t="str">
        <f t="shared" si="1"/>
        <v>1st</v>
      </c>
      <c r="H22" s="6">
        <f>VLOOKUP(F22,League_Points!$A$2:$B$61,2)</f>
        <v>50</v>
      </c>
      <c r="J22" s="22">
        <f>IF(LEN(B22)-LEN(SUBSTITUTE(B22,"&amp;",""))&gt;0,CONCATENATE(COUNTIF('League Results'!$D$5:$D$64,MID(B22,1,FIND(" &amp; ",B22)-1)),"-",COUNTIF('League Results'!$D$5:$D$64,MID(B22,FIND(" &amp; ",B22)+3,LEN(B22)))),COUNTIF('League Results'!$D$5:$D$64,B22))</f>
        <v>0</v>
      </c>
    </row>
    <row r="23" spans="2:10" x14ac:dyDescent="0.35">
      <c r="B23" s="5"/>
      <c r="C23" s="1"/>
      <c r="D23" s="1"/>
      <c r="E23" s="1">
        <f t="shared" si="0"/>
        <v>0</v>
      </c>
      <c r="F23" s="1">
        <f t="array" ref="F23">COUNTIF($E$4:$E$93,"&gt;"&amp;E23)+1+SUMPRODUCT(--($E$4:$E$93=E23),--($D$4:$D$93&lt;D23))</f>
        <v>1</v>
      </c>
      <c r="G23" s="1" t="str">
        <f t="shared" si="1"/>
        <v>1st</v>
      </c>
      <c r="H23" s="6">
        <f>VLOOKUP(F23,League_Points!$A$2:$B$61,2)</f>
        <v>50</v>
      </c>
      <c r="J23" s="22">
        <f>IF(LEN(B23)-LEN(SUBSTITUTE(B23,"&amp;",""))&gt;0,CONCATENATE(COUNTIF('League Results'!$D$5:$D$64,MID(B23,1,FIND(" &amp; ",B23)-1)),"-",COUNTIF('League Results'!$D$5:$D$64,MID(B23,FIND(" &amp; ",B23)+3,LEN(B23)))),COUNTIF('League Results'!$D$5:$D$64,B23))</f>
        <v>0</v>
      </c>
    </row>
    <row r="24" spans="2:10" x14ac:dyDescent="0.35">
      <c r="B24" s="5"/>
      <c r="C24" s="1"/>
      <c r="D24" s="1"/>
      <c r="E24" s="1">
        <f t="shared" si="0"/>
        <v>0</v>
      </c>
      <c r="F24" s="1">
        <f t="array" ref="F24">COUNTIF($E$4:$E$93,"&gt;"&amp;E24)+1+SUMPRODUCT(--($E$4:$E$93=E24),--($D$4:$D$93&lt;D24))</f>
        <v>1</v>
      </c>
      <c r="G24" s="1" t="str">
        <f t="shared" si="1"/>
        <v>1st</v>
      </c>
      <c r="H24" s="6">
        <f>VLOOKUP(F24,League_Points!$A$2:$B$61,2)</f>
        <v>50</v>
      </c>
      <c r="J24" s="22">
        <f>IF(LEN(B24)-LEN(SUBSTITUTE(B24,"&amp;",""))&gt;0,CONCATENATE(COUNTIF('League Results'!$D$5:$D$64,MID(B24,1,FIND(" &amp; ",B24)-1)),"-",COUNTIF('League Results'!$D$5:$D$64,MID(B24,FIND(" &amp; ",B24)+3,LEN(B24)))),COUNTIF('League Results'!$D$5:$D$64,B24))</f>
        <v>0</v>
      </c>
    </row>
    <row r="25" spans="2:10" x14ac:dyDescent="0.35">
      <c r="B25" s="5"/>
      <c r="C25" s="1"/>
      <c r="D25" s="1"/>
      <c r="E25" s="1">
        <f t="shared" si="0"/>
        <v>0</v>
      </c>
      <c r="F25" s="1">
        <f t="array" ref="F25">COUNTIF($E$4:$E$93,"&gt;"&amp;E25)+1+SUMPRODUCT(--($E$4:$E$93=E25),--($D$4:$D$93&lt;D25))</f>
        <v>1</v>
      </c>
      <c r="G25" s="1" t="str">
        <f t="shared" si="1"/>
        <v>1st</v>
      </c>
      <c r="H25" s="6">
        <f>VLOOKUP(F25,League_Points!$A$2:$B$61,2)</f>
        <v>50</v>
      </c>
      <c r="J25" s="22">
        <f>IF(LEN(B25)-LEN(SUBSTITUTE(B25,"&amp;",""))&gt;0,CONCATENATE(COUNTIF('League Results'!$D$5:$D$64,MID(B25,1,FIND(" &amp; ",B25)-1)),"-",COUNTIF('League Results'!$D$5:$D$64,MID(B25,FIND(" &amp; ",B25)+3,LEN(B25)))),COUNTIF('League Results'!$D$5:$D$64,B25))</f>
        <v>0</v>
      </c>
    </row>
    <row r="26" spans="2:10" x14ac:dyDescent="0.35">
      <c r="B26" s="5"/>
      <c r="C26" s="1"/>
      <c r="D26" s="1"/>
      <c r="E26" s="1">
        <f t="shared" si="0"/>
        <v>0</v>
      </c>
      <c r="F26" s="1">
        <f t="array" ref="F26">COUNTIF($E$4:$E$93,"&gt;"&amp;E26)+1+SUMPRODUCT(--($E$4:$E$93=E26),--($D$4:$D$93&lt;D26))</f>
        <v>1</v>
      </c>
      <c r="G26" s="1" t="str">
        <f t="shared" si="1"/>
        <v>1st</v>
      </c>
      <c r="H26" s="6">
        <f>VLOOKUP(F26,League_Points!$A$2:$B$61,2)</f>
        <v>50</v>
      </c>
      <c r="J26" s="22">
        <f>IF(LEN(B26)-LEN(SUBSTITUTE(B26,"&amp;",""))&gt;0,CONCATENATE(COUNTIF('League Results'!$D$5:$D$64,MID(B26,1,FIND(" &amp; ",B26)-1)),"-",COUNTIF('League Results'!$D$5:$D$64,MID(B26,FIND(" &amp; ",B26)+3,LEN(B26)))),COUNTIF('League Results'!$D$5:$D$64,B26))</f>
        <v>0</v>
      </c>
    </row>
    <row r="27" spans="2:10" x14ac:dyDescent="0.35">
      <c r="B27" s="5"/>
      <c r="C27" s="1"/>
      <c r="D27" s="1"/>
      <c r="E27" s="1">
        <f t="shared" si="0"/>
        <v>0</v>
      </c>
      <c r="F27" s="1">
        <f t="array" ref="F27">COUNTIF($E$4:$E$93,"&gt;"&amp;E27)+1+SUMPRODUCT(--($E$4:$E$93=E27),--($D$4:$D$93&lt;D27))</f>
        <v>1</v>
      </c>
      <c r="G27" s="1" t="str">
        <f t="shared" si="1"/>
        <v>1st</v>
      </c>
      <c r="H27" s="6">
        <f>VLOOKUP(F27,League_Points!$A$2:$B$61,2)</f>
        <v>50</v>
      </c>
      <c r="J27" s="22">
        <f>IF(LEN(B27)-LEN(SUBSTITUTE(B27,"&amp;",""))&gt;0,CONCATENATE(COUNTIF('League Results'!$D$5:$D$64,MID(B27,1,FIND(" &amp; ",B27)-1)),"-",COUNTIF('League Results'!$D$5:$D$64,MID(B27,FIND(" &amp; ",B27)+3,LEN(B27)))),COUNTIF('League Results'!$D$5:$D$64,B27))</f>
        <v>0</v>
      </c>
    </row>
    <row r="28" spans="2:10" x14ac:dyDescent="0.35">
      <c r="B28" s="5"/>
      <c r="C28" s="1"/>
      <c r="D28" s="1"/>
      <c r="E28" s="1">
        <f t="shared" si="0"/>
        <v>0</v>
      </c>
      <c r="F28" s="1">
        <f t="array" ref="F28">COUNTIF($E$4:$E$93,"&gt;"&amp;E28)+1+SUMPRODUCT(--($E$4:$E$93=E28),--($D$4:$D$93&lt;D28))</f>
        <v>1</v>
      </c>
      <c r="G28" s="1" t="str">
        <f t="shared" si="1"/>
        <v>1st</v>
      </c>
      <c r="H28" s="6">
        <f>VLOOKUP(F28,League_Points!$A$2:$B$61,2)</f>
        <v>50</v>
      </c>
      <c r="J28" s="22">
        <f>IF(LEN(B28)-LEN(SUBSTITUTE(B28,"&amp;",""))&gt;0,CONCATENATE(COUNTIF('League Results'!$D$5:$D$64,MID(B28,1,FIND(" &amp; ",B28)-1)),"-",COUNTIF('League Results'!$D$5:$D$64,MID(B28,FIND(" &amp; ",B28)+3,LEN(B28)))),COUNTIF('League Results'!$D$5:$D$64,B28))</f>
        <v>0</v>
      </c>
    </row>
    <row r="29" spans="2:10" x14ac:dyDescent="0.35">
      <c r="B29" s="5"/>
      <c r="C29" s="1"/>
      <c r="D29" s="1"/>
      <c r="E29" s="1">
        <f t="shared" si="0"/>
        <v>0</v>
      </c>
      <c r="F29" s="1">
        <f t="array" ref="F29">COUNTIF($E$4:$E$93,"&gt;"&amp;E29)+1+SUMPRODUCT(--($E$4:$E$93=E29),--($D$4:$D$93&lt;D29))</f>
        <v>1</v>
      </c>
      <c r="G29" s="1" t="str">
        <f t="shared" si="1"/>
        <v>1st</v>
      </c>
      <c r="H29" s="6">
        <f>VLOOKUP(F29,League_Points!$A$2:$B$61,2)</f>
        <v>50</v>
      </c>
      <c r="J29" s="22">
        <f>IF(LEN(B29)-LEN(SUBSTITUTE(B29,"&amp;",""))&gt;0,CONCATENATE(COUNTIF('League Results'!$D$5:$D$64,MID(B29,1,FIND(" &amp; ",B29)-1)),"-",COUNTIF('League Results'!$D$5:$D$64,MID(B29,FIND(" &amp; ",B29)+3,LEN(B29)))),COUNTIF('League Results'!$D$5:$D$64,B29))</f>
        <v>0</v>
      </c>
    </row>
    <row r="30" spans="2:10" x14ac:dyDescent="0.35">
      <c r="B30" s="5"/>
      <c r="C30" s="1"/>
      <c r="D30" s="1"/>
      <c r="E30" s="1">
        <f t="shared" si="0"/>
        <v>0</v>
      </c>
      <c r="F30" s="1">
        <f t="array" ref="F30">COUNTIF($E$4:$E$93,"&gt;"&amp;E30)+1+SUMPRODUCT(--($E$4:$E$93=E30),--($D$4:$D$93&lt;D30))</f>
        <v>1</v>
      </c>
      <c r="G30" s="1" t="str">
        <f t="shared" si="1"/>
        <v>1st</v>
      </c>
      <c r="H30" s="6">
        <f>VLOOKUP(F30,League_Points!$A$2:$B$61,2)</f>
        <v>50</v>
      </c>
      <c r="J30" s="22">
        <f>IF(LEN(B30)-LEN(SUBSTITUTE(B30,"&amp;",""))&gt;0,CONCATENATE(COUNTIF('League Results'!$D$5:$D$64,MID(B30,1,FIND(" &amp; ",B30)-1)),"-",COUNTIF('League Results'!$D$5:$D$64,MID(B30,FIND(" &amp; ",B30)+3,LEN(B30)))),COUNTIF('League Results'!$D$5:$D$64,B30))</f>
        <v>0</v>
      </c>
    </row>
    <row r="31" spans="2:10" x14ac:dyDescent="0.35">
      <c r="B31" s="5"/>
      <c r="C31" s="1"/>
      <c r="D31" s="1"/>
      <c r="E31" s="1">
        <f t="shared" si="0"/>
        <v>0</v>
      </c>
      <c r="F31" s="1">
        <f t="array" ref="F31">COUNTIF($E$4:$E$93,"&gt;"&amp;E31)+1+SUMPRODUCT(--($E$4:$E$93=E31),--($D$4:$D$93&lt;D31))</f>
        <v>1</v>
      </c>
      <c r="G31" s="1" t="str">
        <f t="shared" si="1"/>
        <v>1st</v>
      </c>
      <c r="H31" s="6">
        <f>VLOOKUP(F31,League_Points!$A$2:$B$61,2)</f>
        <v>50</v>
      </c>
      <c r="J31" s="22">
        <f>IF(LEN(B31)-LEN(SUBSTITUTE(B31,"&amp;",""))&gt;0,CONCATENATE(COUNTIF('League Results'!$D$5:$D$64,MID(B31,1,FIND(" &amp; ",B31)-1)),"-",COUNTIF('League Results'!$D$5:$D$64,MID(B31,FIND(" &amp; ",B31)+3,LEN(B31)))),COUNTIF('League Results'!$D$5:$D$64,B31))</f>
        <v>0</v>
      </c>
    </row>
    <row r="32" spans="2:10" x14ac:dyDescent="0.35">
      <c r="B32" s="5"/>
      <c r="C32" s="1"/>
      <c r="D32" s="1"/>
      <c r="E32" s="1">
        <f t="shared" si="0"/>
        <v>0</v>
      </c>
      <c r="F32" s="1">
        <f t="array" ref="F32">COUNTIF($E$4:$E$93,"&gt;"&amp;E32)+1+SUMPRODUCT(--($E$4:$E$93=E32),--($D$4:$D$93&lt;D32))</f>
        <v>1</v>
      </c>
      <c r="G32" s="1" t="str">
        <f t="shared" si="1"/>
        <v>1st</v>
      </c>
      <c r="H32" s="6">
        <f>VLOOKUP(F32,League_Points!$A$2:$B$61,2)</f>
        <v>50</v>
      </c>
      <c r="J32" s="22">
        <f>IF(LEN(B32)-LEN(SUBSTITUTE(B32,"&amp;",""))&gt;0,CONCATENATE(COUNTIF('League Results'!$D$5:$D$64,MID(B32,1,FIND(" &amp; ",B32)-1)),"-",COUNTIF('League Results'!$D$5:$D$64,MID(B32,FIND(" &amp; ",B32)+3,LEN(B32)))),COUNTIF('League Results'!$D$5:$D$64,B32))</f>
        <v>0</v>
      </c>
    </row>
    <row r="33" spans="2:10" x14ac:dyDescent="0.35">
      <c r="B33" s="5"/>
      <c r="C33" s="1"/>
      <c r="D33" s="1"/>
      <c r="E33" s="1">
        <f t="shared" si="0"/>
        <v>0</v>
      </c>
      <c r="F33" s="1">
        <f t="array" ref="F33">COUNTIF($E$4:$E$93,"&gt;"&amp;E33)+1+SUMPRODUCT(--($E$4:$E$93=E33),--($D$4:$D$93&lt;D33))</f>
        <v>1</v>
      </c>
      <c r="G33" s="1" t="str">
        <f t="shared" si="1"/>
        <v>1st</v>
      </c>
      <c r="H33" s="6">
        <f>VLOOKUP(F33,League_Points!$A$2:$B$61,2)</f>
        <v>50</v>
      </c>
      <c r="J33" s="22">
        <f>IF(LEN(B33)-LEN(SUBSTITUTE(B33,"&amp;",""))&gt;0,CONCATENATE(COUNTIF('League Results'!$D$5:$D$64,MID(B33,1,FIND(" &amp; ",B33)-1)),"-",COUNTIF('League Results'!$D$5:$D$64,MID(B33,FIND(" &amp; ",B33)+3,LEN(B33)))),COUNTIF('League Results'!$D$5:$D$64,B33))</f>
        <v>0</v>
      </c>
    </row>
    <row r="34" spans="2:10" x14ac:dyDescent="0.35">
      <c r="B34" s="5"/>
      <c r="C34" s="1"/>
      <c r="D34" s="1"/>
      <c r="E34" s="1">
        <f t="shared" si="0"/>
        <v>0</v>
      </c>
      <c r="F34" s="1">
        <f t="array" ref="F34">COUNTIF($E$4:$E$93,"&gt;"&amp;E34)+1+SUMPRODUCT(--($E$4:$E$93=E34),--($D$4:$D$93&lt;D34))</f>
        <v>1</v>
      </c>
      <c r="G34" s="1" t="str">
        <f t="shared" si="1"/>
        <v>1st</v>
      </c>
      <c r="H34" s="6">
        <f>VLOOKUP(F34,League_Points!$A$2:$B$61,2)</f>
        <v>50</v>
      </c>
      <c r="J34" s="22">
        <f>IF(LEN(B34)-LEN(SUBSTITUTE(B34,"&amp;",""))&gt;0,CONCATENATE(COUNTIF('League Results'!$D$5:$D$64,MID(B34,1,FIND(" &amp; ",B34)-1)),"-",COUNTIF('League Results'!$D$5:$D$64,MID(B34,FIND(" &amp; ",B34)+3,LEN(B34)))),COUNTIF('League Results'!$D$5:$D$64,B34))</f>
        <v>0</v>
      </c>
    </row>
    <row r="35" spans="2:10" x14ac:dyDescent="0.35">
      <c r="B35" s="5"/>
      <c r="C35" s="1"/>
      <c r="D35" s="1"/>
      <c r="E35" s="1">
        <f t="shared" si="0"/>
        <v>0</v>
      </c>
      <c r="F35" s="1">
        <f t="array" ref="F35">COUNTIF($E$4:$E$93,"&gt;"&amp;E35)+1+SUMPRODUCT(--($E$4:$E$93=E35),--($D$4:$D$93&lt;D35))</f>
        <v>1</v>
      </c>
      <c r="G35" s="1" t="str">
        <f t="shared" si="1"/>
        <v>1st</v>
      </c>
      <c r="H35" s="6">
        <f>VLOOKUP(F35,League_Points!$A$2:$B$61,2)</f>
        <v>50</v>
      </c>
      <c r="J35" s="22">
        <f>IF(LEN(B35)-LEN(SUBSTITUTE(B35,"&amp;",""))&gt;0,CONCATENATE(COUNTIF('League Results'!$D$5:$D$64,MID(B35,1,FIND(" &amp; ",B35)-1)),"-",COUNTIF('League Results'!$D$5:$D$64,MID(B35,FIND(" &amp; ",B35)+3,LEN(B35)))),COUNTIF('League Results'!$D$5:$D$64,B35))</f>
        <v>0</v>
      </c>
    </row>
    <row r="36" spans="2:10" x14ac:dyDescent="0.35">
      <c r="B36" s="5"/>
      <c r="C36" s="1"/>
      <c r="D36" s="1"/>
      <c r="E36" s="1">
        <f t="shared" si="0"/>
        <v>0</v>
      </c>
      <c r="F36" s="1">
        <f t="array" ref="F36">COUNTIF($E$4:$E$93,"&gt;"&amp;E36)+1+SUMPRODUCT(--($E$4:$E$93=E36),--($D$4:$D$93&lt;D36))</f>
        <v>1</v>
      </c>
      <c r="G36" s="1" t="str">
        <f t="shared" si="1"/>
        <v>1st</v>
      </c>
      <c r="H36" s="6">
        <f>VLOOKUP(F36,League_Points!$A$2:$B$61,2)</f>
        <v>50</v>
      </c>
      <c r="J36" s="22">
        <f>IF(LEN(B36)-LEN(SUBSTITUTE(B36,"&amp;",""))&gt;0,CONCATENATE(COUNTIF('League Results'!$D$5:$D$64,MID(B36,1,FIND(" &amp; ",B36)-1)),"-",COUNTIF('League Results'!$D$5:$D$64,MID(B36,FIND(" &amp; ",B36)+3,LEN(B36)))),COUNTIF('League Results'!$D$5:$D$64,B36))</f>
        <v>0</v>
      </c>
    </row>
    <row r="37" spans="2:10" x14ac:dyDescent="0.35">
      <c r="B37" s="5"/>
      <c r="C37" s="1"/>
      <c r="D37" s="1"/>
      <c r="E37" s="1">
        <f t="shared" si="0"/>
        <v>0</v>
      </c>
      <c r="F37" s="1">
        <f t="array" ref="F37">COUNTIF($E$4:$E$93,"&gt;"&amp;E37)+1+SUMPRODUCT(--($E$4:$E$93=E37),--($D$4:$D$93&lt;D37))</f>
        <v>1</v>
      </c>
      <c r="G37" s="1" t="str">
        <f t="shared" si="1"/>
        <v>1st</v>
      </c>
      <c r="H37" s="6">
        <f>VLOOKUP(F37,League_Points!$A$2:$B$61,2)</f>
        <v>50</v>
      </c>
      <c r="J37" s="22">
        <f>IF(LEN(B37)-LEN(SUBSTITUTE(B37,"&amp;",""))&gt;0,CONCATENATE(COUNTIF('League Results'!$D$5:$D$64,MID(B37,1,FIND(" &amp; ",B37)-1)),"-",COUNTIF('League Results'!$D$5:$D$64,MID(B37,FIND(" &amp; ",B37)+3,LEN(B37)))),COUNTIF('League Results'!$D$5:$D$64,B37))</f>
        <v>0</v>
      </c>
    </row>
    <row r="38" spans="2:10" x14ac:dyDescent="0.35">
      <c r="B38" s="5"/>
      <c r="C38" s="1"/>
      <c r="D38" s="1"/>
      <c r="E38" s="1">
        <f t="shared" si="0"/>
        <v>0</v>
      </c>
      <c r="F38" s="1">
        <f t="array" ref="F38">COUNTIF($E$4:$E$93,"&gt;"&amp;E38)+1+SUMPRODUCT(--($E$4:$E$93=E38),--($D$4:$D$93&lt;D38))</f>
        <v>1</v>
      </c>
      <c r="G38" s="1" t="str">
        <f t="shared" si="1"/>
        <v>1st</v>
      </c>
      <c r="H38" s="6">
        <f>VLOOKUP(F38,League_Points!$A$2:$B$61,2)</f>
        <v>50</v>
      </c>
      <c r="J38" s="22">
        <f>IF(LEN(B38)-LEN(SUBSTITUTE(B38,"&amp;",""))&gt;0,CONCATENATE(COUNTIF('League Results'!$D$5:$D$64,MID(B38,1,FIND(" &amp; ",B38)-1)),"-",COUNTIF('League Results'!$D$5:$D$64,MID(B38,FIND(" &amp; ",B38)+3,LEN(B38)))),COUNTIF('League Results'!$D$5:$D$64,B38))</f>
        <v>0</v>
      </c>
    </row>
    <row r="39" spans="2:10" x14ac:dyDescent="0.35">
      <c r="B39" s="5"/>
      <c r="C39" s="1"/>
      <c r="D39" s="1"/>
      <c r="E39" s="1">
        <f t="shared" si="0"/>
        <v>0</v>
      </c>
      <c r="F39" s="1">
        <f t="array" ref="F39">COUNTIF($E$4:$E$93,"&gt;"&amp;E39)+1+SUMPRODUCT(--($E$4:$E$93=E39),--($D$4:$D$93&lt;D39))</f>
        <v>1</v>
      </c>
      <c r="G39" s="1" t="str">
        <f t="shared" si="1"/>
        <v>1st</v>
      </c>
      <c r="H39" s="6">
        <f>VLOOKUP(F39,League_Points!$A$2:$B$61,2)</f>
        <v>50</v>
      </c>
      <c r="J39" s="22">
        <f>IF(LEN(B39)-LEN(SUBSTITUTE(B39,"&amp;",""))&gt;0,CONCATENATE(COUNTIF('League Results'!$D$5:$D$64,MID(B39,1,FIND(" &amp; ",B39)-1)),"-",COUNTIF('League Results'!$D$5:$D$64,MID(B39,FIND(" &amp; ",B39)+3,LEN(B39)))),COUNTIF('League Results'!$D$5:$D$64,B39))</f>
        <v>0</v>
      </c>
    </row>
    <row r="40" spans="2:10" x14ac:dyDescent="0.35">
      <c r="B40" s="5"/>
      <c r="C40" s="1"/>
      <c r="D40" s="1"/>
      <c r="E40" s="1">
        <f t="shared" si="0"/>
        <v>0</v>
      </c>
      <c r="F40" s="1">
        <f t="array" ref="F40">COUNTIF($E$4:$E$93,"&gt;"&amp;E40)+1+SUMPRODUCT(--($E$4:$E$93=E40),--($D$4:$D$93&lt;D40))</f>
        <v>1</v>
      </c>
      <c r="G40" s="1" t="str">
        <f t="shared" si="1"/>
        <v>1st</v>
      </c>
      <c r="H40" s="6">
        <f>VLOOKUP(F40,League_Points!$A$2:$B$61,2)</f>
        <v>50</v>
      </c>
      <c r="J40" s="22">
        <f>IF(LEN(B40)-LEN(SUBSTITUTE(B40,"&amp;",""))&gt;0,CONCATENATE(COUNTIF('League Results'!$D$5:$D$64,MID(B40,1,FIND(" &amp; ",B40)-1)),"-",COUNTIF('League Results'!$D$5:$D$64,MID(B40,FIND(" &amp; ",B40)+3,LEN(B40)))),COUNTIF('League Results'!$D$5:$D$64,B40))</f>
        <v>0</v>
      </c>
    </row>
    <row r="41" spans="2:10" x14ac:dyDescent="0.35">
      <c r="B41" s="5"/>
      <c r="C41" s="1"/>
      <c r="D41" s="1"/>
      <c r="E41" s="1">
        <f t="shared" si="0"/>
        <v>0</v>
      </c>
      <c r="F41" s="1">
        <f t="array" ref="F41">COUNTIF($E$4:$E$93,"&gt;"&amp;E41)+1+SUMPRODUCT(--($E$4:$E$93=E41),--($D$4:$D$93&lt;D41))</f>
        <v>1</v>
      </c>
      <c r="G41" s="1" t="str">
        <f t="shared" si="1"/>
        <v>1st</v>
      </c>
      <c r="H41" s="6">
        <f>VLOOKUP(F41,League_Points!$A$2:$B$61,2)</f>
        <v>50</v>
      </c>
      <c r="J41" s="22">
        <f>IF(LEN(B41)-LEN(SUBSTITUTE(B41,"&amp;",""))&gt;0,CONCATENATE(COUNTIF('League Results'!$D$5:$D$64,MID(B41,1,FIND(" &amp; ",B41)-1)),"-",COUNTIF('League Results'!$D$5:$D$64,MID(B41,FIND(" &amp; ",B41)+3,LEN(B41)))),COUNTIF('League Results'!$D$5:$D$64,B41))</f>
        <v>0</v>
      </c>
    </row>
    <row r="42" spans="2:10" x14ac:dyDescent="0.35">
      <c r="B42" s="5"/>
      <c r="C42" s="1"/>
      <c r="D42" s="1"/>
      <c r="E42" s="1">
        <f t="shared" si="0"/>
        <v>0</v>
      </c>
      <c r="F42" s="1">
        <f t="array" ref="F42">COUNTIF($E$4:$E$93,"&gt;"&amp;E42)+1+SUMPRODUCT(--($E$4:$E$93=E42),--($D$4:$D$93&lt;D42))</f>
        <v>1</v>
      </c>
      <c r="G42" s="1" t="str">
        <f t="shared" si="1"/>
        <v>1st</v>
      </c>
      <c r="H42" s="6">
        <f>VLOOKUP(F42,League_Points!$A$2:$B$61,2)</f>
        <v>50</v>
      </c>
      <c r="J42" s="22">
        <f>IF(LEN(B42)-LEN(SUBSTITUTE(B42,"&amp;",""))&gt;0,CONCATENATE(COUNTIF('League Results'!$D$5:$D$64,MID(B42,1,FIND(" &amp; ",B42)-1)),"-",COUNTIF('League Results'!$D$5:$D$64,MID(B42,FIND(" &amp; ",B42)+3,LEN(B42)))),COUNTIF('League Results'!$D$5:$D$64,B42))</f>
        <v>0</v>
      </c>
    </row>
    <row r="43" spans="2:10" x14ac:dyDescent="0.35">
      <c r="B43" s="5"/>
      <c r="C43" s="1"/>
      <c r="D43" s="1"/>
      <c r="E43" s="1">
        <f t="shared" si="0"/>
        <v>0</v>
      </c>
      <c r="F43" s="1">
        <f t="array" ref="F43">COUNTIF($E$4:$E$93,"&gt;"&amp;E43)+1+SUMPRODUCT(--($E$4:$E$93=E43),--($D$4:$D$93&lt;D43))</f>
        <v>1</v>
      </c>
      <c r="G43" s="1" t="str">
        <f t="shared" si="1"/>
        <v>1st</v>
      </c>
      <c r="H43" s="6">
        <f>VLOOKUP(F43,League_Points!$A$2:$B$61,2)</f>
        <v>50</v>
      </c>
      <c r="J43" s="22">
        <f>IF(LEN(B43)-LEN(SUBSTITUTE(B43,"&amp;",""))&gt;0,CONCATENATE(COUNTIF('League Results'!$D$5:$D$64,MID(B43,1,FIND(" &amp; ",B43)-1)),"-",COUNTIF('League Results'!$D$5:$D$64,MID(B43,FIND(" &amp; ",B43)+3,LEN(B43)))),COUNTIF('League Results'!$D$5:$D$64,B43))</f>
        <v>0</v>
      </c>
    </row>
    <row r="44" spans="2:10" x14ac:dyDescent="0.35">
      <c r="B44" s="5"/>
      <c r="C44" s="1"/>
      <c r="D44" s="1"/>
      <c r="E44" s="1">
        <f t="shared" si="0"/>
        <v>0</v>
      </c>
      <c r="F44" s="1">
        <f t="array" ref="F44">COUNTIF($E$4:$E$93,"&gt;"&amp;E44)+1+SUMPRODUCT(--($E$4:$E$93=E44),--($D$4:$D$93&lt;D44))</f>
        <v>1</v>
      </c>
      <c r="G44" s="1" t="str">
        <f t="shared" si="1"/>
        <v>1st</v>
      </c>
      <c r="H44" s="6">
        <f>VLOOKUP(F44,League_Points!$A$2:$B$61,2)</f>
        <v>50</v>
      </c>
      <c r="J44" s="22">
        <f>IF(LEN(B44)-LEN(SUBSTITUTE(B44,"&amp;",""))&gt;0,CONCATENATE(COUNTIF('League Results'!$D$5:$D$64,MID(B44,1,FIND(" &amp; ",B44)-1)),"-",COUNTIF('League Results'!$D$5:$D$64,MID(B44,FIND(" &amp; ",B44)+3,LEN(B44)))),COUNTIF('League Results'!$D$5:$D$64,B44))</f>
        <v>0</v>
      </c>
    </row>
    <row r="45" spans="2:10" x14ac:dyDescent="0.35">
      <c r="B45" s="5"/>
      <c r="C45" s="1"/>
      <c r="D45" s="1"/>
      <c r="E45" s="1">
        <f t="shared" si="0"/>
        <v>0</v>
      </c>
      <c r="F45" s="1">
        <f t="array" ref="F45">COUNTIF($E$4:$E$93,"&gt;"&amp;E45)+1+SUMPRODUCT(--($E$4:$E$93=E45),--($D$4:$D$93&lt;D45))</f>
        <v>1</v>
      </c>
      <c r="G45" s="1" t="str">
        <f t="shared" si="1"/>
        <v>1st</v>
      </c>
      <c r="H45" s="6">
        <f>VLOOKUP(F45,League_Points!$A$2:$B$61,2)</f>
        <v>50</v>
      </c>
      <c r="J45" s="22">
        <f>IF(LEN(B45)-LEN(SUBSTITUTE(B45,"&amp;",""))&gt;0,CONCATENATE(COUNTIF('League Results'!$D$5:$D$64,MID(B45,1,FIND(" &amp; ",B45)-1)),"-",COUNTIF('League Results'!$D$5:$D$64,MID(B45,FIND(" &amp; ",B45)+3,LEN(B45)))),COUNTIF('League Results'!$D$5:$D$64,B45))</f>
        <v>0</v>
      </c>
    </row>
    <row r="46" spans="2:10" x14ac:dyDescent="0.35">
      <c r="B46" s="5"/>
      <c r="C46" s="1"/>
      <c r="D46" s="1"/>
      <c r="E46" s="1">
        <f t="shared" si="0"/>
        <v>0</v>
      </c>
      <c r="F46" s="1">
        <f t="array" ref="F46">COUNTIF($E$4:$E$93,"&gt;"&amp;E46)+1+SUMPRODUCT(--($E$4:$E$93=E46),--($D$4:$D$93&lt;D46))</f>
        <v>1</v>
      </c>
      <c r="G46" s="1" t="str">
        <f t="shared" si="1"/>
        <v>1st</v>
      </c>
      <c r="H46" s="6">
        <f>VLOOKUP(F46,League_Points!$A$2:$B$61,2)</f>
        <v>50</v>
      </c>
      <c r="J46" s="22">
        <f>IF(LEN(B46)-LEN(SUBSTITUTE(B46,"&amp;",""))&gt;0,CONCATENATE(COUNTIF('League Results'!$D$5:$D$64,MID(B46,1,FIND(" &amp; ",B46)-1)),"-",COUNTIF('League Results'!$D$5:$D$64,MID(B46,FIND(" &amp; ",B46)+3,LEN(B46)))),COUNTIF('League Results'!$D$5:$D$64,B46))</f>
        <v>0</v>
      </c>
    </row>
    <row r="47" spans="2:10" x14ac:dyDescent="0.35">
      <c r="B47" s="5"/>
      <c r="C47" s="1"/>
      <c r="D47" s="1"/>
      <c r="E47" s="1">
        <f t="shared" si="0"/>
        <v>0</v>
      </c>
      <c r="F47" s="1">
        <f t="array" ref="F47">COUNTIF($E$4:$E$93,"&gt;"&amp;E47)+1+SUMPRODUCT(--($E$4:$E$93=E47),--($D$4:$D$93&lt;D47))</f>
        <v>1</v>
      </c>
      <c r="G47" s="1" t="str">
        <f t="shared" si="1"/>
        <v>1st</v>
      </c>
      <c r="H47" s="6">
        <f>VLOOKUP(F47,League_Points!$A$2:$B$61,2)</f>
        <v>50</v>
      </c>
      <c r="J47" s="22">
        <f>IF(LEN(B47)-LEN(SUBSTITUTE(B47,"&amp;",""))&gt;0,CONCATENATE(COUNTIF('League Results'!$D$5:$D$64,MID(B47,1,FIND(" &amp; ",B47)-1)),"-",COUNTIF('League Results'!$D$5:$D$64,MID(B47,FIND(" &amp; ",B47)+3,LEN(B47)))),COUNTIF('League Results'!$D$5:$D$64,B47))</f>
        <v>0</v>
      </c>
    </row>
    <row r="48" spans="2:10" x14ac:dyDescent="0.35">
      <c r="B48" s="5"/>
      <c r="C48" s="1"/>
      <c r="D48" s="1"/>
      <c r="E48" s="1">
        <f t="shared" si="0"/>
        <v>0</v>
      </c>
      <c r="F48" s="1">
        <f t="array" ref="F48">COUNTIF($E$4:$E$93,"&gt;"&amp;E48)+1+SUMPRODUCT(--($E$4:$E$93=E48),--($D$4:$D$93&lt;D48))</f>
        <v>1</v>
      </c>
      <c r="G48" s="1" t="str">
        <f t="shared" si="1"/>
        <v>1st</v>
      </c>
      <c r="H48" s="6">
        <f>VLOOKUP(F48,League_Points!$A$2:$B$61,2)</f>
        <v>50</v>
      </c>
      <c r="J48" s="22">
        <f>IF(LEN(B48)-LEN(SUBSTITUTE(B48,"&amp;",""))&gt;0,CONCATENATE(COUNTIF('League Results'!$D$5:$D$64,MID(B48,1,FIND(" &amp; ",B48)-1)),"-",COUNTIF('League Results'!$D$5:$D$64,MID(B48,FIND(" &amp; ",B48)+3,LEN(B48)))),COUNTIF('League Results'!$D$5:$D$64,B48))</f>
        <v>0</v>
      </c>
    </row>
    <row r="49" spans="2:10" x14ac:dyDescent="0.35">
      <c r="B49" s="5"/>
      <c r="C49" s="1"/>
      <c r="D49" s="1"/>
      <c r="E49" s="1">
        <f t="shared" si="0"/>
        <v>0</v>
      </c>
      <c r="F49" s="1">
        <f t="array" ref="F49">COUNTIF($E$4:$E$93,"&gt;"&amp;E49)+1+SUMPRODUCT(--($E$4:$E$93=E49),--($D$4:$D$93&lt;D49))</f>
        <v>1</v>
      </c>
      <c r="G49" s="1" t="str">
        <f t="shared" si="1"/>
        <v>1st</v>
      </c>
      <c r="H49" s="6">
        <f>VLOOKUP(F49,League_Points!$A$2:$B$61,2)</f>
        <v>50</v>
      </c>
      <c r="J49" s="22">
        <f>IF(LEN(B49)-LEN(SUBSTITUTE(B49,"&amp;",""))&gt;0,CONCATENATE(COUNTIF('League Results'!$D$5:$D$64,MID(B49,1,FIND(" &amp; ",B49)-1)),"-",COUNTIF('League Results'!$D$5:$D$64,MID(B49,FIND(" &amp; ",B49)+3,LEN(B49)))),COUNTIF('League Results'!$D$5:$D$64,B49))</f>
        <v>0</v>
      </c>
    </row>
    <row r="50" spans="2:10" x14ac:dyDescent="0.35">
      <c r="B50" s="5"/>
      <c r="C50" s="1"/>
      <c r="D50" s="1"/>
      <c r="E50" s="1">
        <f t="shared" si="0"/>
        <v>0</v>
      </c>
      <c r="F50" s="1">
        <f t="array" ref="F50">COUNTIF($E$4:$E$93,"&gt;"&amp;E50)+1+SUMPRODUCT(--($E$4:$E$93=E50),--($D$4:$D$93&lt;D50))</f>
        <v>1</v>
      </c>
      <c r="G50" s="1" t="str">
        <f t="shared" si="1"/>
        <v>1st</v>
      </c>
      <c r="H50" s="6">
        <f>VLOOKUP(F50,League_Points!$A$2:$B$61,2)</f>
        <v>50</v>
      </c>
      <c r="J50" s="22">
        <f>IF(LEN(B50)-LEN(SUBSTITUTE(B50,"&amp;",""))&gt;0,CONCATENATE(COUNTIF('League Results'!$D$5:$D$64,MID(B50,1,FIND(" &amp; ",B50)-1)),"-",COUNTIF('League Results'!$D$5:$D$64,MID(B50,FIND(" &amp; ",B50)+3,LEN(B50)))),COUNTIF('League Results'!$D$5:$D$64,B50))</f>
        <v>0</v>
      </c>
    </row>
    <row r="51" spans="2:10" x14ac:dyDescent="0.35">
      <c r="B51" s="5"/>
      <c r="C51" s="1"/>
      <c r="D51" s="1"/>
      <c r="E51" s="1">
        <f t="shared" si="0"/>
        <v>0</v>
      </c>
      <c r="F51" s="1">
        <f t="array" ref="F51">COUNTIF($E$4:$E$93,"&gt;"&amp;E51)+1+SUMPRODUCT(--($E$4:$E$93=E51),--($D$4:$D$93&lt;D51))</f>
        <v>1</v>
      </c>
      <c r="G51" s="1" t="str">
        <f t="shared" si="1"/>
        <v>1st</v>
      </c>
      <c r="H51" s="6">
        <f>VLOOKUP(F51,League_Points!$A$2:$B$61,2)</f>
        <v>50</v>
      </c>
      <c r="J51" s="22">
        <f>IF(LEN(B51)-LEN(SUBSTITUTE(B51,"&amp;",""))&gt;0,CONCATENATE(COUNTIF('League Results'!$D$5:$D$64,MID(B51,1,FIND(" &amp; ",B51)-1)),"-",COUNTIF('League Results'!$D$5:$D$64,MID(B51,FIND(" &amp; ",B51)+3,LEN(B51)))),COUNTIF('League Results'!$D$5:$D$64,B51))</f>
        <v>0</v>
      </c>
    </row>
    <row r="52" spans="2:10" x14ac:dyDescent="0.35">
      <c r="B52" s="5"/>
      <c r="C52" s="1"/>
      <c r="D52" s="1"/>
      <c r="E52" s="1">
        <f t="shared" si="0"/>
        <v>0</v>
      </c>
      <c r="F52" s="1">
        <f t="array" ref="F52">COUNTIF($E$4:$E$93,"&gt;"&amp;E52)+1+SUMPRODUCT(--($E$4:$E$93=E52),--($D$4:$D$93&lt;D52))</f>
        <v>1</v>
      </c>
      <c r="G52" s="1" t="str">
        <f t="shared" si="1"/>
        <v>1st</v>
      </c>
      <c r="H52" s="6">
        <f>VLOOKUP(F52,League_Points!$A$2:$B$61,2)</f>
        <v>50</v>
      </c>
      <c r="J52" s="22">
        <f>IF(LEN(B52)-LEN(SUBSTITUTE(B52,"&amp;",""))&gt;0,CONCATENATE(COUNTIF('League Results'!$D$5:$D$64,MID(B52,1,FIND(" &amp; ",B52)-1)),"-",COUNTIF('League Results'!$D$5:$D$64,MID(B52,FIND(" &amp; ",B52)+3,LEN(B52)))),COUNTIF('League Results'!$D$5:$D$64,B52))</f>
        <v>0</v>
      </c>
    </row>
    <row r="53" spans="2:10" x14ac:dyDescent="0.35">
      <c r="B53" s="5"/>
      <c r="C53" s="1"/>
      <c r="D53" s="1"/>
      <c r="E53" s="1">
        <f t="shared" si="0"/>
        <v>0</v>
      </c>
      <c r="F53" s="1">
        <f t="array" ref="F53">COUNTIF($E$4:$E$93,"&gt;"&amp;E53)+1+SUMPRODUCT(--($E$4:$E$93=E53),--($D$4:$D$93&lt;D53))</f>
        <v>1</v>
      </c>
      <c r="G53" s="1" t="str">
        <f t="shared" si="1"/>
        <v>1st</v>
      </c>
      <c r="H53" s="6">
        <f>VLOOKUP(F53,League_Points!$A$2:$B$61,2)</f>
        <v>50</v>
      </c>
      <c r="J53" s="22">
        <f>IF(LEN(B53)-LEN(SUBSTITUTE(B53,"&amp;",""))&gt;0,CONCATENATE(COUNTIF('League Results'!$D$5:$D$64,MID(B53,1,FIND(" &amp; ",B53)-1)),"-",COUNTIF('League Results'!$D$5:$D$64,MID(B53,FIND(" &amp; ",B53)+3,LEN(B53)))),COUNTIF('League Results'!$D$5:$D$64,B53))</f>
        <v>0</v>
      </c>
    </row>
    <row r="54" spans="2:10" x14ac:dyDescent="0.35">
      <c r="B54" s="5"/>
      <c r="C54" s="1"/>
      <c r="D54" s="1"/>
      <c r="E54" s="1">
        <f t="shared" si="0"/>
        <v>0</v>
      </c>
      <c r="F54" s="1">
        <f t="array" ref="F54">COUNTIF($E$4:$E$93,"&gt;"&amp;E54)+1+SUMPRODUCT(--($E$4:$E$93=E54),--($D$4:$D$93&lt;D54))</f>
        <v>1</v>
      </c>
      <c r="G54" s="1" t="str">
        <f t="shared" si="1"/>
        <v>1st</v>
      </c>
      <c r="H54" s="6">
        <f>VLOOKUP(F54,League_Points!$A$2:$B$61,2)</f>
        <v>50</v>
      </c>
      <c r="J54" s="22">
        <f>IF(LEN(B54)-LEN(SUBSTITUTE(B54,"&amp;",""))&gt;0,CONCATENATE(COUNTIF('League Results'!$D$5:$D$64,MID(B54,1,FIND(" &amp; ",B54)-1)),"-",COUNTIF('League Results'!$D$5:$D$64,MID(B54,FIND(" &amp; ",B54)+3,LEN(B54)))),COUNTIF('League Results'!$D$5:$D$64,B54))</f>
        <v>0</v>
      </c>
    </row>
    <row r="55" spans="2:10" x14ac:dyDescent="0.35">
      <c r="B55" s="5"/>
      <c r="C55" s="1"/>
      <c r="D55" s="1"/>
      <c r="E55" s="1">
        <f t="shared" si="0"/>
        <v>0</v>
      </c>
      <c r="F55" s="1">
        <f t="array" ref="F55">COUNTIF($E$4:$E$93,"&gt;"&amp;E55)+1+SUMPRODUCT(--($E$4:$E$93=E55),--($D$4:$D$93&lt;D55))</f>
        <v>1</v>
      </c>
      <c r="G55" s="1" t="str">
        <f t="shared" si="1"/>
        <v>1st</v>
      </c>
      <c r="H55" s="6">
        <f>VLOOKUP(F55,League_Points!$A$2:$B$61,2)</f>
        <v>50</v>
      </c>
      <c r="J55" s="22">
        <f>IF(LEN(B55)-LEN(SUBSTITUTE(B55,"&amp;",""))&gt;0,CONCATENATE(COUNTIF('League Results'!$D$5:$D$64,MID(B55,1,FIND(" &amp; ",B55)-1)),"-",COUNTIF('League Results'!$D$5:$D$64,MID(B55,FIND(" &amp; ",B55)+3,LEN(B55)))),COUNTIF('League Results'!$D$5:$D$64,B55))</f>
        <v>0</v>
      </c>
    </row>
    <row r="56" spans="2:10" ht="16" thickBot="1" x14ac:dyDescent="0.4">
      <c r="B56" s="7"/>
      <c r="C56" s="8" t="s">
        <v>22</v>
      </c>
      <c r="D56" s="8"/>
      <c r="E56" s="8"/>
      <c r="F56" s="8"/>
      <c r="G56" s="8"/>
      <c r="H56" s="9" t="s">
        <v>23</v>
      </c>
      <c r="J56" s="23">
        <f>IF(LEN(B56)-LEN(SUBSTITUTE(B56,"&amp;",""))&gt;0,CONCATENATE(COUNTIF('League Results'!$D$5:$D$64,MID(B56,1,FIND(" &amp; ",B56)-1)),"-",COUNTIF('League Results'!$D$5:$D$64,MID(B56,FIND(" &amp; ",B56)+3,LEN(B56)))),COUNTIF('League Results'!$D$5:$D$64,B56))</f>
        <v>0</v>
      </c>
    </row>
    <row r="58" spans="2:10" ht="71.25" customHeight="1" x14ac:dyDescent="0.35">
      <c r="B58" s="62" t="s">
        <v>24</v>
      </c>
      <c r="C58" s="62"/>
      <c r="D58" s="62"/>
      <c r="E58" s="62"/>
      <c r="F58" s="62"/>
      <c r="G58" s="62"/>
      <c r="H58" s="62"/>
    </row>
    <row r="60" spans="2:10" ht="64" customHeight="1" x14ac:dyDescent="0.35">
      <c r="B60" s="62" t="s">
        <v>25</v>
      </c>
      <c r="C60" s="62"/>
      <c r="D60" s="62"/>
      <c r="E60" s="62"/>
      <c r="F60" s="62"/>
      <c r="G60" s="62"/>
      <c r="H60" s="62"/>
    </row>
  </sheetData>
  <autoFilter ref="B3:H3" xr:uid="{00000000-0009-0000-0000-000007000000}">
    <sortState xmlns:xlrd2="http://schemas.microsoft.com/office/spreadsheetml/2017/richdata2" ref="B4:H56">
      <sortCondition descending="1" ref="E3"/>
    </sortState>
  </autoFilter>
  <mergeCells count="3">
    <mergeCell ref="B2:H2"/>
    <mergeCell ref="B58:H58"/>
    <mergeCell ref="B60:H60"/>
  </mergeCells>
  <conditionalFormatting sqref="J4:J14 J31:J56">
    <cfRule type="expression" dxfId="7" priority="2">
      <formula>AND($J4&lt;&gt;1,$J4&lt;&gt;"1-1")</formula>
    </cfRule>
  </conditionalFormatting>
  <conditionalFormatting sqref="J15:J30">
    <cfRule type="expression" dxfId="6" priority="1">
      <formula>AND($J15&lt;&gt;1,$J15&lt;&gt;"1-1")</formula>
    </cfRule>
  </conditionalFormatting>
  <printOptions horizontalCentered="1"/>
  <pageMargins left="0.23622047244094491" right="0.23622047244094491" top="0.74803149606299213" bottom="0.74803149606299213" header="0.31496062992125984" footer="0.31496062992125984"/>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autoPageBreaks="0" fitToPage="1"/>
  </sheetPr>
  <dimension ref="B1:Q92"/>
  <sheetViews>
    <sheetView tabSelected="1" topLeftCell="A25" workbookViewId="0">
      <selection activeCell="E68" sqref="E68"/>
    </sheetView>
  </sheetViews>
  <sheetFormatPr defaultColWidth="8.81640625" defaultRowHeight="15.5" x14ac:dyDescent="0.35"/>
  <cols>
    <col min="1" max="1" width="1.453125" style="28" customWidth="1"/>
    <col min="2" max="3" width="6.7265625" style="25" customWidth="1"/>
    <col min="4" max="4" width="25.7265625" style="26" customWidth="1"/>
    <col min="5" max="5" width="5" style="25" customWidth="1"/>
    <col min="6" max="14" width="8.453125" style="25" customWidth="1"/>
    <col min="15" max="15" width="19.1796875" style="27" customWidth="1"/>
    <col min="16" max="17" width="6.7265625" style="25" customWidth="1"/>
    <col min="18" max="16384" width="8.81640625" style="28"/>
  </cols>
  <sheetData>
    <row r="1" spans="2:17" ht="10" customHeight="1" thickBot="1" x14ac:dyDescent="0.4">
      <c r="B1" s="20"/>
      <c r="C1" s="20"/>
      <c r="D1" s="43"/>
      <c r="E1" s="20"/>
      <c r="F1" s="20"/>
      <c r="G1" s="20"/>
      <c r="H1" s="20"/>
      <c r="I1" s="20"/>
      <c r="J1" s="20"/>
      <c r="K1" s="20"/>
      <c r="L1" s="20"/>
      <c r="M1" s="20"/>
      <c r="N1" s="20"/>
      <c r="O1" s="44"/>
      <c r="P1" s="20"/>
      <c r="Q1" s="20"/>
    </row>
    <row r="2" spans="2:17" ht="35.15" customHeight="1" thickBot="1" x14ac:dyDescent="0.4">
      <c r="B2" s="59" t="str">
        <f ca="1">CONCATENATE("Mole Valley Orienteering Club – Winter Street O Series 2021/22 – Positions after ",MAX(P5:P92)," event",IF(MAX(P5:P92)&gt;1,"s",))</f>
        <v>Mole Valley Orienteering Club – Winter Street O Series 2021/22 – Positions after 4 events</v>
      </c>
      <c r="C2" s="60"/>
      <c r="D2" s="60"/>
      <c r="E2" s="60"/>
      <c r="F2" s="60"/>
      <c r="G2" s="60"/>
      <c r="H2" s="60"/>
      <c r="I2" s="60"/>
      <c r="J2" s="60"/>
      <c r="K2" s="60"/>
      <c r="L2" s="60"/>
      <c r="M2" s="60"/>
      <c r="N2" s="60"/>
      <c r="O2" s="60"/>
      <c r="P2" s="60"/>
      <c r="Q2" s="61"/>
    </row>
    <row r="3" spans="2:17" ht="33" customHeight="1" x14ac:dyDescent="0.35">
      <c r="B3" s="64" t="s">
        <v>33</v>
      </c>
      <c r="C3" s="66" t="s">
        <v>34</v>
      </c>
      <c r="D3" s="66" t="s">
        <v>0</v>
      </c>
      <c r="E3" s="66" t="s">
        <v>35</v>
      </c>
      <c r="F3" s="55" t="s">
        <v>36</v>
      </c>
      <c r="G3" s="55" t="s">
        <v>37</v>
      </c>
      <c r="H3" s="55" t="s">
        <v>38</v>
      </c>
      <c r="I3" s="55" t="s">
        <v>39</v>
      </c>
      <c r="J3" s="55" t="s">
        <v>40</v>
      </c>
      <c r="K3" s="55" t="s">
        <v>41</v>
      </c>
      <c r="L3" s="55" t="s">
        <v>42</v>
      </c>
      <c r="M3" s="55" t="s">
        <v>43</v>
      </c>
      <c r="N3" s="66" t="s">
        <v>44</v>
      </c>
      <c r="O3" s="66" t="s">
        <v>45</v>
      </c>
      <c r="P3" s="66" t="s">
        <v>46</v>
      </c>
      <c r="Q3" s="68" t="s">
        <v>47</v>
      </c>
    </row>
    <row r="4" spans="2:17" ht="81" customHeight="1" thickBot="1" x14ac:dyDescent="0.4">
      <c r="B4" s="65"/>
      <c r="C4" s="67"/>
      <c r="D4" s="67"/>
      <c r="E4" s="67"/>
      <c r="F4" s="56" t="s">
        <v>52</v>
      </c>
      <c r="G4" s="56" t="s">
        <v>53</v>
      </c>
      <c r="H4" s="56" t="s">
        <v>48</v>
      </c>
      <c r="I4" s="56" t="s">
        <v>54</v>
      </c>
      <c r="J4" s="56" t="s">
        <v>55</v>
      </c>
      <c r="K4" s="56" t="s">
        <v>117</v>
      </c>
      <c r="L4" s="56" t="s">
        <v>134</v>
      </c>
      <c r="M4" s="56" t="s">
        <v>56</v>
      </c>
      <c r="N4" s="67"/>
      <c r="O4" s="67"/>
      <c r="P4" s="67"/>
      <c r="Q4" s="69"/>
    </row>
    <row r="5" spans="2:17" ht="15" customHeight="1" thickBot="1" x14ac:dyDescent="0.4">
      <c r="B5" s="33">
        <f ca="1">IF(D5="","",RANK(Q5,$Q$5:$Q$91,0))</f>
        <v>1</v>
      </c>
      <c r="C5" s="32" t="str" cm="1">
        <f t="array" ref="C5">IF(E5="F",SUMPRODUCT(($E$5:$E$91=E5)*(Q5&lt;$Q$5:$Q$91))+1,"")</f>
        <v/>
      </c>
      <c r="D5" s="54" t="s">
        <v>14</v>
      </c>
      <c r="E5" s="34"/>
      <c r="F5" s="35">
        <f ca="1">IF($D5="","",(IF(COUNTIF((INDIRECT("'"&amp;F$4&amp;"'!$B$4:$B$83")),CONCATENATE("*",$D5,"*"))=1,VLOOKUP(CONCATENATE("*",$D5,"*"),(INDIRECT("'"&amp;F$4&amp;"'!$B$4:$H$83")),7,FALSE),"")))</f>
        <v>49</v>
      </c>
      <c r="G5" s="35">
        <f ca="1">IF($D5="","",(IF(COUNTIF((INDIRECT("'"&amp;G$4&amp;"'!$B$4:$B$83")),CONCATENATE("*",$D5,"*"))=1,VLOOKUP(CONCATENATE("*",$D5,"*"),(INDIRECT("'"&amp;G$4&amp;"'!$B$4:$H$83")),7,FALSE),"")))</f>
        <v>48</v>
      </c>
      <c r="H5" s="35">
        <f ca="1">IF($D5="","",(IF(COUNTIF((INDIRECT("'"&amp;H$4&amp;"'!$B$4:$B$83")),CONCATENATE("*",$D5,"*"))=1,VLOOKUP(CONCATENATE("*",$D5,"*"),(INDIRECT("'"&amp;H$4&amp;"'!$B$4:$H$83")),7,FALSE),"")))</f>
        <v>49</v>
      </c>
      <c r="I5" s="35">
        <f ca="1">IF($D5="","",(IF(COUNTIF((INDIRECT("'"&amp;I$4&amp;"'!$B$4:$B$83")),CONCATENATE("*",$D5,"*"))=1,VLOOKUP(CONCATENATE("*",$D5,"*"),(INDIRECT("'"&amp;I$4&amp;"'!$B$4:$H$83")),7,FALSE),"")))</f>
        <v>48</v>
      </c>
      <c r="J5" s="35" t="str">
        <f ca="1">IF($D5="","",(IF(COUNTIF((INDIRECT("'"&amp;J$4&amp;"'!$B$4:$B$83")),CONCATENATE("*",$D5,"*"))=1,VLOOKUP(CONCATENATE("*",$D5,"*"),(INDIRECT("'"&amp;J$4&amp;"'!$B$4:$H$83")),7,FALSE),"")))</f>
        <v/>
      </c>
      <c r="K5" s="35" t="str">
        <f ca="1">IF($D5="","",(IF(COUNTIF((INDIRECT("'"&amp;K$4&amp;"'!$B$4:$B$83")),CONCATENATE("*",$D5,"*"))=1,VLOOKUP(CONCATENATE("*",$D5,"*"),(INDIRECT("'"&amp;K$4&amp;"'!$B$4:$H$83")),7,FALSE),"")))</f>
        <v/>
      </c>
      <c r="L5" s="35" t="str">
        <f ca="1">IF($D5="","",(IF(COUNTIF((INDIRECT("'"&amp;L$4&amp;"'!$B$4:$B$83")),CONCATENATE("*",$D5,"*"))=1,VLOOKUP(CONCATENATE("*",$D5,"*"),(INDIRECT("'"&amp;L$4&amp;"'!$B$4:$H$83")),7,FALSE),"")))</f>
        <v/>
      </c>
      <c r="M5" s="35" t="str">
        <f ca="1">IF($D5="","",(IF(COUNTIF((INDIRECT("'"&amp;M$4&amp;"'!$B$4:$B$83")),CONCATENATE("*",$D5,"*"))=1,VLOOKUP(CONCATENATE("*",$D5,"*"),(INDIRECT("'"&amp;M$4&amp;"'!$B$4:$H$83")),7,FALSE),"")))</f>
        <v/>
      </c>
      <c r="N5" s="35" t="str">
        <f>IF(O5&lt;&gt;"",MAX(F5:M5),"")</f>
        <v/>
      </c>
      <c r="O5" s="35"/>
      <c r="P5" s="34">
        <f ca="1">COUNTIF(F5:M5,"&gt;0")</f>
        <v>4</v>
      </c>
      <c r="Q5" s="36">
        <f t="array" aca="1" ref="Q5" ca="1">IF(COUNT(F5:N5)&gt;5,SUM(LARGE(F5:N5,{1,2,3,4,5})),SUM(F5:N5))</f>
        <v>194</v>
      </c>
    </row>
    <row r="6" spans="2:17" ht="16" thickBot="1" x14ac:dyDescent="0.4">
      <c r="B6" s="33">
        <f ca="1">IF(D6="","",RANK(Q6,$Q$5:$Q$91,0))</f>
        <v>2</v>
      </c>
      <c r="C6" s="32" t="str" cm="1">
        <f t="array" ref="C6">IF(E6="F",SUMPRODUCT(($E$5:$E$91=E6)*(Q6&lt;$Q$5:$Q$91))+1,"")</f>
        <v/>
      </c>
      <c r="D6" s="29" t="s">
        <v>11</v>
      </c>
      <c r="E6" s="31"/>
      <c r="F6" s="35">
        <f ca="1">IF($D6="","",(IF(COUNTIF((INDIRECT("'"&amp;F$4&amp;"'!$B$4:$B$83")),CONCATENATE("*",$D6,"*"))=1,VLOOKUP(CONCATENATE("*",$D6,"*"),(INDIRECT("'"&amp;F$4&amp;"'!$B$4:$H$83")),7,FALSE),"")))</f>
        <v>48</v>
      </c>
      <c r="G6" s="35">
        <f ca="1">IF($D6="","",(IF(COUNTIF((INDIRECT("'"&amp;G$4&amp;"'!$B$4:$B$83")),CONCATENATE("*",$D6,"*"))=1,VLOOKUP(CONCATENATE("*",$D6,"*"),(INDIRECT("'"&amp;G$4&amp;"'!$B$4:$H$83")),7,FALSE),"")))</f>
        <v>49</v>
      </c>
      <c r="H6" s="35">
        <f ca="1">IF($D6="","",(IF(COUNTIF((INDIRECT("'"&amp;H$4&amp;"'!$B$4:$B$83")),CONCATENATE("*",$D6,"*"))=1,VLOOKUP(CONCATENATE("*",$D6,"*"),(INDIRECT("'"&amp;H$4&amp;"'!$B$4:$H$83")),7,FALSE),"")))</f>
        <v>48</v>
      </c>
      <c r="I6" s="35">
        <f ca="1">IF($D6="","",(IF(COUNTIF((INDIRECT("'"&amp;I$4&amp;"'!$B$4:$B$83")),CONCATENATE("*",$D6,"*"))=1,VLOOKUP(CONCATENATE("*",$D6,"*"),(INDIRECT("'"&amp;I$4&amp;"'!$B$4:$H$83")),7,FALSE),"")))</f>
        <v>45</v>
      </c>
      <c r="J6" s="35" t="str">
        <f ca="1">IF($D6="","",(IF(COUNTIF((INDIRECT("'"&amp;J$4&amp;"'!$B$4:$B$83")),CONCATENATE("*",$D6,"*"))=1,VLOOKUP(CONCATENATE("*",$D6,"*"),(INDIRECT("'"&amp;J$4&amp;"'!$B$4:$H$83")),7,FALSE),"")))</f>
        <v/>
      </c>
      <c r="K6" s="35" t="str">
        <f ca="1">IF($D6="","",(IF(COUNTIF((INDIRECT("'"&amp;K$4&amp;"'!$B$4:$B$83")),CONCATENATE("*",$D6,"*"))=1,VLOOKUP(CONCATENATE("*",$D6,"*"),(INDIRECT("'"&amp;K$4&amp;"'!$B$4:$H$83")),7,FALSE),"")))</f>
        <v/>
      </c>
      <c r="L6" s="35" t="str">
        <f ca="1">IF($D6="","",(IF(COUNTIF((INDIRECT("'"&amp;L$4&amp;"'!$B$4:$B$83")),CONCATENATE("*",$D6,"*"))=1,VLOOKUP(CONCATENATE("*",$D6,"*"),(INDIRECT("'"&amp;L$4&amp;"'!$B$4:$H$83")),7,FALSE),"")))</f>
        <v/>
      </c>
      <c r="M6" s="35" t="str">
        <f ca="1">IF($D6="","",(IF(COUNTIF((INDIRECT("'"&amp;M$4&amp;"'!$B$4:$B$83")),CONCATENATE("*",$D6,"*"))=1,VLOOKUP(CONCATENATE("*",$D6,"*"),(INDIRECT("'"&amp;M$4&amp;"'!$B$4:$H$83")),7,FALSE),"")))</f>
        <v/>
      </c>
      <c r="N6" s="31" t="str">
        <f>IF(O6&lt;&gt;"",MAX(F6:M6),"")</f>
        <v/>
      </c>
      <c r="O6" s="32"/>
      <c r="P6" s="32">
        <f ca="1">COUNTIF(F6:M6,"&gt;0")</f>
        <v>4</v>
      </c>
      <c r="Q6" s="37">
        <f t="array" aca="1" ref="Q6" ca="1">IF(COUNT(F6:N6)&gt;5,SUM(LARGE(F6:N6,{1,2,3,4,5})),SUM(F6:N6))</f>
        <v>190</v>
      </c>
    </row>
    <row r="7" spans="2:17" ht="16" thickBot="1" x14ac:dyDescent="0.4">
      <c r="B7" s="33">
        <f ca="1">IF(D7="","",RANK(Q7,$Q$5:$Q$91,0))</f>
        <v>3</v>
      </c>
      <c r="C7" s="32" t="str" cm="1">
        <f t="array" ref="C7">IF(E7="F",SUMPRODUCT(($E$5:$E$91=E7)*(Q7&lt;$Q$5:$Q$91))+1,"")</f>
        <v/>
      </c>
      <c r="D7" s="29" t="s">
        <v>58</v>
      </c>
      <c r="E7" s="32"/>
      <c r="F7" s="35">
        <f ca="1">IF($D7="","",(IF(COUNTIF((INDIRECT("'"&amp;F$4&amp;"'!$B$4:$B$83")),CONCATENATE("*",$D7,"*"))=1,VLOOKUP(CONCATENATE("*",$D7,"*"),(INDIRECT("'"&amp;F$4&amp;"'!$B$4:$H$83")),7,FALSE),"")))</f>
        <v>45</v>
      </c>
      <c r="G7" s="35">
        <f ca="1">IF($D7="","",(IF(COUNTIF((INDIRECT("'"&amp;G$4&amp;"'!$B$4:$B$83")),CONCATENATE("*",$D7,"*"))=1,VLOOKUP(CONCATENATE("*",$D7,"*"),(INDIRECT("'"&amp;G$4&amp;"'!$B$4:$H$83")),7,FALSE),"")))</f>
        <v>46</v>
      </c>
      <c r="H7" s="35">
        <f ca="1">IF($D7="","",(IF(COUNTIF((INDIRECT("'"&amp;H$4&amp;"'!$B$4:$B$83")),CONCATENATE("*",$D7,"*"))=1,VLOOKUP(CONCATENATE("*",$D7,"*"),(INDIRECT("'"&amp;H$4&amp;"'!$B$4:$H$83")),7,FALSE),"")))</f>
        <v>47</v>
      </c>
      <c r="I7" s="35">
        <f ca="1">IF($D7="","",(IF(COUNTIF((INDIRECT("'"&amp;I$4&amp;"'!$B$4:$B$83")),CONCATENATE("*",$D7,"*"))=1,VLOOKUP(CONCATENATE("*",$D7,"*"),(INDIRECT("'"&amp;I$4&amp;"'!$B$4:$H$83")),7,FALSE),"")))</f>
        <v>41</v>
      </c>
      <c r="J7" s="35" t="str">
        <f ca="1">IF($D7="","",(IF(COUNTIF((INDIRECT("'"&amp;J$4&amp;"'!$B$4:$B$83")),CONCATENATE("*",$D7,"*"))=1,VLOOKUP(CONCATENATE("*",$D7,"*"),(INDIRECT("'"&amp;J$4&amp;"'!$B$4:$H$83")),7,FALSE),"")))</f>
        <v/>
      </c>
      <c r="K7" s="35" t="str">
        <f ca="1">IF($D7="","",(IF(COUNTIF((INDIRECT("'"&amp;K$4&amp;"'!$B$4:$B$83")),CONCATENATE("*",$D7,"*"))=1,VLOOKUP(CONCATENATE("*",$D7,"*"),(INDIRECT("'"&amp;K$4&amp;"'!$B$4:$H$83")),7,FALSE),"")))</f>
        <v/>
      </c>
      <c r="L7" s="35" t="str">
        <f ca="1">IF($D7="","",(IF(COUNTIF((INDIRECT("'"&amp;L$4&amp;"'!$B$4:$B$83")),CONCATENATE("*",$D7,"*"))=1,VLOOKUP(CONCATENATE("*",$D7,"*"),(INDIRECT("'"&amp;L$4&amp;"'!$B$4:$H$83")),7,FALSE),"")))</f>
        <v/>
      </c>
      <c r="M7" s="35" t="str">
        <f ca="1">IF($D7="","",(IF(COUNTIF((INDIRECT("'"&amp;M$4&amp;"'!$B$4:$B$83")),CONCATENATE("*",$D7,"*"))=1,VLOOKUP(CONCATENATE("*",$D7,"*"),(INDIRECT("'"&amp;M$4&amp;"'!$B$4:$H$83")),7,FALSE),"")))</f>
        <v/>
      </c>
      <c r="N7" s="32" t="str">
        <f>IF(O7&lt;&gt;"",MAX(F7:M7),"")</f>
        <v/>
      </c>
      <c r="O7" s="32"/>
      <c r="P7" s="32">
        <f ca="1">COUNTIF(F7:M7,"&gt;0")</f>
        <v>4</v>
      </c>
      <c r="Q7" s="37">
        <f t="array" aca="1" ref="Q7" ca="1">IF(COUNT(F7:N7)&gt;5,SUM(LARGE(F7:N7,{1,2,3,4,5})),SUM(F7:N7))</f>
        <v>179</v>
      </c>
    </row>
    <row r="8" spans="2:17" x14ac:dyDescent="0.35">
      <c r="B8" s="33">
        <f ca="1">IF(D8="","",RANK(Q8,$Q$5:$Q$91,0))</f>
        <v>4</v>
      </c>
      <c r="C8" s="32" t="str" cm="1">
        <f t="array" ref="C8">IF(E8="F",SUMPRODUCT(($E$5:$E$91=E8)*(Q8&lt;$Q$5:$Q$91))+1,"")</f>
        <v/>
      </c>
      <c r="D8" s="30" t="s">
        <v>26</v>
      </c>
      <c r="E8" s="31"/>
      <c r="F8" s="35">
        <f ca="1">IF($D8="","",(IF(COUNTIF((INDIRECT("'"&amp;F$4&amp;"'!$B$4:$B$83")),CONCATENATE("*",$D8,"*"))=1,VLOOKUP(CONCATENATE("*",$D8,"*"),(INDIRECT("'"&amp;F$4&amp;"'!$B$4:$H$83")),7,FALSE),"")))</f>
        <v>42</v>
      </c>
      <c r="G8" s="35">
        <f ca="1">IF($D8="","",(IF(COUNTIF((INDIRECT("'"&amp;G$4&amp;"'!$B$4:$B$83")),CONCATENATE("*",$D8,"*"))=1,VLOOKUP(CONCATENATE("*",$D8,"*"),(INDIRECT("'"&amp;G$4&amp;"'!$B$4:$H$83")),7,FALSE),"")))</f>
        <v>47</v>
      </c>
      <c r="H8" s="35">
        <f ca="1">IF($D8="","",(IF(COUNTIF((INDIRECT("'"&amp;H$4&amp;"'!$B$4:$B$83")),CONCATENATE("*",$D8,"*"))=1,VLOOKUP(CONCATENATE("*",$D8,"*"),(INDIRECT("'"&amp;H$4&amp;"'!$B$4:$H$83")),7,FALSE),"")))</f>
        <v>45</v>
      </c>
      <c r="I8" s="35">
        <f ca="1">IF($D8="","",(IF(COUNTIF((INDIRECT("'"&amp;I$4&amp;"'!$B$4:$B$83")),CONCATENATE("*",$D8,"*"))=1,VLOOKUP(CONCATENATE("*",$D8,"*"),(INDIRECT("'"&amp;I$4&amp;"'!$B$4:$H$83")),7,FALSE),"")))</f>
        <v>43</v>
      </c>
      <c r="J8" s="35" t="str">
        <f ca="1">IF($D8="","",(IF(COUNTIF((INDIRECT("'"&amp;J$4&amp;"'!$B$4:$B$83")),CONCATENATE("*",$D8,"*"))=1,VLOOKUP(CONCATENATE("*",$D8,"*"),(INDIRECT("'"&amp;J$4&amp;"'!$B$4:$H$83")),7,FALSE),"")))</f>
        <v/>
      </c>
      <c r="K8" s="35" t="str">
        <f ca="1">IF($D8="","",(IF(COUNTIF((INDIRECT("'"&amp;K$4&amp;"'!$B$4:$B$83")),CONCATENATE("*",$D8,"*"))=1,VLOOKUP(CONCATENATE("*",$D8,"*"),(INDIRECT("'"&amp;K$4&amp;"'!$B$4:$H$83")),7,FALSE),"")))</f>
        <v/>
      </c>
      <c r="L8" s="35" t="str">
        <f ca="1">IF($D8="","",(IF(COUNTIF((INDIRECT("'"&amp;L$4&amp;"'!$B$4:$B$83")),CONCATENATE("*",$D8,"*"))=1,VLOOKUP(CONCATENATE("*",$D8,"*"),(INDIRECT("'"&amp;L$4&amp;"'!$B$4:$H$83")),7,FALSE),"")))</f>
        <v/>
      </c>
      <c r="M8" s="35" t="str">
        <f ca="1">IF($D8="","",(IF(COUNTIF((INDIRECT("'"&amp;M$4&amp;"'!$B$4:$B$83")),CONCATENATE("*",$D8,"*"))=1,VLOOKUP(CONCATENATE("*",$D8,"*"),(INDIRECT("'"&amp;M$4&amp;"'!$B$4:$H$83")),7,FALSE),"")))</f>
        <v/>
      </c>
      <c r="N8" s="31" t="str">
        <f>IF(O8&lt;&gt;"",MAX(F8:M8),"")</f>
        <v/>
      </c>
      <c r="O8" s="32"/>
      <c r="P8" s="32">
        <f ca="1">COUNTIF(F8:M8,"&gt;0")</f>
        <v>4</v>
      </c>
      <c r="Q8" s="37">
        <f t="array" aca="1" ref="Q8" ca="1">IF(COUNT(F8:N8)&gt;5,SUM(LARGE(F8:N8,{1,2,3,4,5})),SUM(F8:N8))</f>
        <v>177</v>
      </c>
    </row>
    <row r="9" spans="2:17" x14ac:dyDescent="0.35">
      <c r="B9" s="33">
        <f ca="1">IF(D9="","",RANK(Q9,$Q$5:$Q$91,0))</f>
        <v>5</v>
      </c>
      <c r="C9" s="32" t="str" cm="1">
        <f t="array" ref="C9">IF(E9="F",SUMPRODUCT(($E$5:$E$91=E9)*(Q9&lt;$Q$5:$Q$91))+1,"")</f>
        <v/>
      </c>
      <c r="D9" s="39" t="s">
        <v>59</v>
      </c>
      <c r="E9" s="31"/>
      <c r="F9" s="35">
        <f ca="1">IF($D9="","",(IF(COUNTIF((INDIRECT("'"&amp;F$4&amp;"'!$B$4:$B$83")),CONCATENATE("*",$D9,"*"))=1,VLOOKUP(CONCATENATE("*",$D9,"*"),(INDIRECT("'"&amp;F$4&amp;"'!$B$4:$H$83")),7,FALSE),"")))</f>
        <v>43</v>
      </c>
      <c r="G9" s="35">
        <f ca="1">IF($D9="","",(IF(COUNTIF((INDIRECT("'"&amp;G$4&amp;"'!$B$4:$B$83")),CONCATENATE("*",$D9,"*"))=1,VLOOKUP(CONCATENATE("*",$D9,"*"),(INDIRECT("'"&amp;G$4&amp;"'!$B$4:$H$83")),7,FALSE),"")))</f>
        <v>38</v>
      </c>
      <c r="H9" s="35" t="str">
        <f ca="1">IF($D9="","",(IF(COUNTIF((INDIRECT("'"&amp;H$4&amp;"'!$B$4:$B$83")),CONCATENATE("*",$D9,"*"))=1,VLOOKUP(CONCATENATE("*",$D9,"*"),(INDIRECT("'"&amp;H$4&amp;"'!$B$4:$H$83")),7,FALSE),"")))</f>
        <v>-</v>
      </c>
      <c r="I9" s="35">
        <f ca="1">IF($D9="","",(IF(COUNTIF((INDIRECT("'"&amp;I$4&amp;"'!$B$4:$B$83")),CONCATENATE("*",$D9,"*"))=1,VLOOKUP(CONCATENATE("*",$D9,"*"),(INDIRECT("'"&amp;I$4&amp;"'!$B$4:$H$83")),7,FALSE),"")))</f>
        <v>44</v>
      </c>
      <c r="J9" s="35" t="str">
        <f ca="1">IF($D9="","",(IF(COUNTIF((INDIRECT("'"&amp;J$4&amp;"'!$B$4:$B$83")),CONCATENATE("*",$D9,"*"))=1,VLOOKUP(CONCATENATE("*",$D9,"*"),(INDIRECT("'"&amp;J$4&amp;"'!$B$4:$H$83")),7,FALSE),"")))</f>
        <v/>
      </c>
      <c r="K9" s="35" t="str">
        <f ca="1">IF($D9="","",(IF(COUNTIF((INDIRECT("'"&amp;K$4&amp;"'!$B$4:$B$83")),CONCATENATE("*",$D9,"*"))=1,VLOOKUP(CONCATENATE("*",$D9,"*"),(INDIRECT("'"&amp;K$4&amp;"'!$B$4:$H$83")),7,FALSE),"")))</f>
        <v/>
      </c>
      <c r="L9" s="35" t="str">
        <f ca="1">IF($D9="","",(IF(COUNTIF((INDIRECT("'"&amp;L$4&amp;"'!$B$4:$B$83")),CONCATENATE("*",$D9,"*"))=1,VLOOKUP(CONCATENATE("*",$D9,"*"),(INDIRECT("'"&amp;L$4&amp;"'!$B$4:$H$83")),7,FALSE),"")))</f>
        <v/>
      </c>
      <c r="M9" s="35" t="str">
        <f ca="1">IF($D9="","",(IF(COUNTIF((INDIRECT("'"&amp;M$4&amp;"'!$B$4:$B$83")),CONCATENATE("*",$D9,"*"))=1,VLOOKUP(CONCATENATE("*",$D9,"*"),(INDIRECT("'"&amp;M$4&amp;"'!$B$4:$H$83")),7,FALSE),"")))</f>
        <v/>
      </c>
      <c r="N9" s="31">
        <f ca="1">IF(O9&lt;&gt;"",MAX(F9:M9),"")</f>
        <v>44</v>
      </c>
      <c r="O9" s="32" t="s">
        <v>48</v>
      </c>
      <c r="P9" s="32">
        <f ca="1">COUNTIF(F9:M9,"&gt;0")</f>
        <v>3</v>
      </c>
      <c r="Q9" s="37">
        <f t="array" aca="1" ref="Q9" ca="1">IF(COUNT(F9:N9)&gt;5,SUM(LARGE(F9:N9,{1,2,3,4,5})),SUM(F9:N9))</f>
        <v>169</v>
      </c>
    </row>
    <row r="10" spans="2:17" x14ac:dyDescent="0.35">
      <c r="B10" s="33">
        <f ca="1">IF(D10="","",RANK(Q10,$Q$5:$Q$91,0))</f>
        <v>6</v>
      </c>
      <c r="C10" s="32" t="str" cm="1">
        <f t="array" ref="C10">IF(E10="F",SUMPRODUCT(($E$5:$E$91=E10)*(Q10&lt;$Q$5:$Q$91))+1,"")</f>
        <v/>
      </c>
      <c r="D10" s="30" t="s">
        <v>75</v>
      </c>
      <c r="E10" s="31"/>
      <c r="F10" s="35" t="str">
        <f ca="1">IF($D10="","",(IF(COUNTIF((INDIRECT("'"&amp;F$4&amp;"'!$B$4:$B$83")),CONCATENATE("*",$D10,"*"))=1,VLOOKUP(CONCATENATE("*",$D10,"*"),(INDIRECT("'"&amp;F$4&amp;"'!$B$4:$H$83")),7,FALSE),"")))</f>
        <v/>
      </c>
      <c r="G10" s="35">
        <f ca="1">IF($D10="","",(IF(COUNTIF((INDIRECT("'"&amp;G$4&amp;"'!$B$4:$B$83")),CONCATENATE("*",$D10,"*"))=1,VLOOKUP(CONCATENATE("*",$D10,"*"),(INDIRECT("'"&amp;G$4&amp;"'!$B$4:$H$83")),7,FALSE),"")))</f>
        <v>45</v>
      </c>
      <c r="H10" s="35">
        <f ca="1">IF($D10="","",(IF(COUNTIF((INDIRECT("'"&amp;H$4&amp;"'!$B$4:$B$83")),CONCATENATE("*",$D10,"*"))=1,VLOOKUP(CONCATENATE("*",$D10,"*"),(INDIRECT("'"&amp;H$4&amp;"'!$B$4:$H$83")),7,FALSE),"")))</f>
        <v>50</v>
      </c>
      <c r="I10" s="35">
        <f ca="1">IF($D10="","",(IF(COUNTIF((INDIRECT("'"&amp;I$4&amp;"'!$B$4:$B$83")),CONCATENATE("*",$D10,"*"))=1,VLOOKUP(CONCATENATE("*",$D10,"*"),(INDIRECT("'"&amp;I$4&amp;"'!$B$4:$H$83")),7,FALSE),"")))</f>
        <v>49</v>
      </c>
      <c r="J10" s="35" t="str">
        <f ca="1">IF($D10="","",(IF(COUNTIF((INDIRECT("'"&amp;J$4&amp;"'!$B$4:$B$83")),CONCATENATE("*",$D10,"*"))=1,VLOOKUP(CONCATENATE("*",$D10,"*"),(INDIRECT("'"&amp;J$4&amp;"'!$B$4:$H$83")),7,FALSE),"")))</f>
        <v/>
      </c>
      <c r="K10" s="35" t="str">
        <f ca="1">IF($D10="","",(IF(COUNTIF((INDIRECT("'"&amp;K$4&amp;"'!$B$4:$B$83")),CONCATENATE("*",$D10,"*"))=1,VLOOKUP(CONCATENATE("*",$D10,"*"),(INDIRECT("'"&amp;K$4&amp;"'!$B$4:$H$83")),7,FALSE),"")))</f>
        <v/>
      </c>
      <c r="L10" s="35" t="str">
        <f ca="1">IF($D10="","",(IF(COUNTIF((INDIRECT("'"&amp;L$4&amp;"'!$B$4:$B$83")),CONCATENATE("*",$D10,"*"))=1,VLOOKUP(CONCATENATE("*",$D10,"*"),(INDIRECT("'"&amp;L$4&amp;"'!$B$4:$H$83")),7,FALSE),"")))</f>
        <v/>
      </c>
      <c r="M10" s="35" t="str">
        <f ca="1">IF($D10="","",(IF(COUNTIF((INDIRECT("'"&amp;M$4&amp;"'!$B$4:$B$83")),CONCATENATE("*",$D10,"*"))=1,VLOOKUP(CONCATENATE("*",$D10,"*"),(INDIRECT("'"&amp;M$4&amp;"'!$B$4:$H$83")),7,FALSE),"")))</f>
        <v/>
      </c>
      <c r="N10" s="31" t="str">
        <f>IF(O10&lt;&gt;"",MAX(F10:M10),"")</f>
        <v/>
      </c>
      <c r="O10" s="32"/>
      <c r="P10" s="32">
        <f ca="1">COUNTIF(F10:M10,"&gt;0")</f>
        <v>3</v>
      </c>
      <c r="Q10" s="37">
        <f t="array" aca="1" ref="Q10" ca="1">IF(COUNT(F10:N10)&gt;5,SUM(LARGE(F10:N10,{1,2,3,4,5})),SUM(F10:N10))</f>
        <v>144</v>
      </c>
    </row>
    <row r="11" spans="2:17" x14ac:dyDescent="0.35">
      <c r="B11" s="33">
        <f ca="1">IF(D11="","",RANK(Q11,$Q$5:$Q$91,0))</f>
        <v>7</v>
      </c>
      <c r="C11" s="32" t="str" cm="1">
        <f t="array" ref="C11">IF(E11="F",SUMPRODUCT(($E$5:$E$91=E11)*(Q11&lt;$Q$5:$Q$91))+1,"")</f>
        <v/>
      </c>
      <c r="D11" s="30" t="s">
        <v>94</v>
      </c>
      <c r="E11" s="31"/>
      <c r="F11" s="35" t="str">
        <f ca="1">IF($D11="","",(IF(COUNTIF((INDIRECT("'"&amp;F$4&amp;"'!$B$4:$B$83")),CONCATENATE("*",$D11,"*"))=1,VLOOKUP(CONCATENATE("*",$D11,"*"),(INDIRECT("'"&amp;F$4&amp;"'!$B$4:$H$83")),7,FALSE),"")))</f>
        <v/>
      </c>
      <c r="G11" s="35" t="str">
        <f ca="1">IF($D11="","",(IF(COUNTIF((INDIRECT("'"&amp;G$4&amp;"'!$B$4:$B$83")),CONCATENATE("*",$D11,"*"))=1,VLOOKUP(CONCATENATE("*",$D11,"*"),(INDIRECT("'"&amp;G$4&amp;"'!$B$4:$H$83")),7,FALSE),"")))</f>
        <v>-</v>
      </c>
      <c r="H11" s="35">
        <f ca="1">IF($D11="","",(IF(COUNTIF((INDIRECT("'"&amp;H$4&amp;"'!$B$4:$B$83")),CONCATENATE("*",$D11,"*"))=1,VLOOKUP(CONCATENATE("*",$D11,"*"),(INDIRECT("'"&amp;H$4&amp;"'!$B$4:$H$83")),7,FALSE),"")))</f>
        <v>45</v>
      </c>
      <c r="I11" s="35">
        <f ca="1">IF($D11="","",(IF(COUNTIF((INDIRECT("'"&amp;I$4&amp;"'!$B$4:$B$83")),CONCATENATE("*",$D11,"*"))=1,VLOOKUP(CONCATENATE("*",$D11,"*"),(INDIRECT("'"&amp;I$4&amp;"'!$B$4:$H$83")),7,FALSE),"")))</f>
        <v>46</v>
      </c>
      <c r="J11" s="35" t="str">
        <f ca="1">IF($D11="","",(IF(COUNTIF((INDIRECT("'"&amp;J$4&amp;"'!$B$4:$B$83")),CONCATENATE("*",$D11,"*"))=1,VLOOKUP(CONCATENATE("*",$D11,"*"),(INDIRECT("'"&amp;J$4&amp;"'!$B$4:$H$83")),7,FALSE),"")))</f>
        <v/>
      </c>
      <c r="K11" s="35" t="str">
        <f ca="1">IF($D11="","",(IF(COUNTIF((INDIRECT("'"&amp;K$4&amp;"'!$B$4:$B$83")),CONCATENATE("*",$D11,"*"))=1,VLOOKUP(CONCATENATE("*",$D11,"*"),(INDIRECT("'"&amp;K$4&amp;"'!$B$4:$H$83")),7,FALSE),"")))</f>
        <v/>
      </c>
      <c r="L11" s="35" t="str">
        <f ca="1">IF($D11="","",(IF(COUNTIF((INDIRECT("'"&amp;L$4&amp;"'!$B$4:$B$83")),CONCATENATE("*",$D11,"*"))=1,VLOOKUP(CONCATENATE("*",$D11,"*"),(INDIRECT("'"&amp;L$4&amp;"'!$B$4:$H$83")),7,FALSE),"")))</f>
        <v/>
      </c>
      <c r="M11" s="35" t="str">
        <f ca="1">IF($D11="","",(IF(COUNTIF((INDIRECT("'"&amp;M$4&amp;"'!$B$4:$B$83")),CONCATENATE("*",$D11,"*"))=1,VLOOKUP(CONCATENATE("*",$D11,"*"),(INDIRECT("'"&amp;M$4&amp;"'!$B$4:$H$83")),7,FALSE),"")))</f>
        <v/>
      </c>
      <c r="N11" s="31">
        <f ca="1">IF(O11&lt;&gt;"",MAX(F11:M11),"")</f>
        <v>46</v>
      </c>
      <c r="O11" s="32" t="s">
        <v>53</v>
      </c>
      <c r="P11" s="32">
        <f ca="1">COUNTIF(F11:M11,"&gt;0")</f>
        <v>2</v>
      </c>
      <c r="Q11" s="37">
        <f t="array" aca="1" ref="Q11" ca="1">IF(COUNT(F11:N11)&gt;5,SUM(LARGE(F11:N11,{1,2,3,4,5})),SUM(F11:N11))</f>
        <v>137</v>
      </c>
    </row>
    <row r="12" spans="2:17" x14ac:dyDescent="0.35">
      <c r="B12" s="33">
        <f ca="1">IF(D12="","",RANK(Q12,$Q$5:$Q$91,0))</f>
        <v>8</v>
      </c>
      <c r="C12" s="32" t="str" cm="1">
        <f t="array" ref="C12">IF(E12="F",SUMPRODUCT(($E$5:$E$91=E12)*(Q12&lt;$Q$5:$Q$91))+1,"")</f>
        <v/>
      </c>
      <c r="D12" s="29" t="s">
        <v>27</v>
      </c>
      <c r="E12" s="38"/>
      <c r="F12" s="35">
        <f ca="1">IF($D12="","",(IF(COUNTIF((INDIRECT("'"&amp;F$4&amp;"'!$B$4:$B$83")),CONCATENATE("*",$D12,"*"))=1,VLOOKUP(CONCATENATE("*",$D12,"*"),(INDIRECT("'"&amp;F$4&amp;"'!$B$4:$H$83")),7,FALSE),"")))</f>
        <v>46</v>
      </c>
      <c r="G12" s="35" t="str">
        <f ca="1">IF($D12="","",(IF(COUNTIF((INDIRECT("'"&amp;G$4&amp;"'!$B$4:$B$83")),CONCATENATE("*",$D12,"*"))=1,VLOOKUP(CONCATENATE("*",$D12,"*"),(INDIRECT("'"&amp;G$4&amp;"'!$B$4:$H$83")),7,FALSE),"")))</f>
        <v/>
      </c>
      <c r="H12" s="35">
        <f ca="1">IF($D12="","",(IF(COUNTIF((INDIRECT("'"&amp;H$4&amp;"'!$B$4:$B$83")),CONCATENATE("*",$D12,"*"))=1,VLOOKUP(CONCATENATE("*",$D12,"*"),(INDIRECT("'"&amp;H$4&amp;"'!$B$4:$H$83")),7,FALSE),"")))</f>
        <v>45</v>
      </c>
      <c r="I12" s="35">
        <f ca="1">IF($D12="","",(IF(COUNTIF((INDIRECT("'"&amp;I$4&amp;"'!$B$4:$B$83")),CONCATENATE("*",$D12,"*"))=1,VLOOKUP(CONCATENATE("*",$D12,"*"),(INDIRECT("'"&amp;I$4&amp;"'!$B$4:$H$83")),7,FALSE),"")))</f>
        <v>37</v>
      </c>
      <c r="J12" s="35" t="str">
        <f ca="1">IF($D12="","",(IF(COUNTIF((INDIRECT("'"&amp;J$4&amp;"'!$B$4:$B$83")),CONCATENATE("*",$D12,"*"))=1,VLOOKUP(CONCATENATE("*",$D12,"*"),(INDIRECT("'"&amp;J$4&amp;"'!$B$4:$H$83")),7,FALSE),"")))</f>
        <v/>
      </c>
      <c r="K12" s="35" t="str">
        <f ca="1">IF($D12="","",(IF(COUNTIF((INDIRECT("'"&amp;K$4&amp;"'!$B$4:$B$83")),CONCATENATE("*",$D12,"*"))=1,VLOOKUP(CONCATENATE("*",$D12,"*"),(INDIRECT("'"&amp;K$4&amp;"'!$B$4:$H$83")),7,FALSE),"")))</f>
        <v/>
      </c>
      <c r="L12" s="35" t="str">
        <f ca="1">IF($D12="","",(IF(COUNTIF((INDIRECT("'"&amp;L$4&amp;"'!$B$4:$B$83")),CONCATENATE("*",$D12,"*"))=1,VLOOKUP(CONCATENATE("*",$D12,"*"),(INDIRECT("'"&amp;L$4&amp;"'!$B$4:$H$83")),7,FALSE),"")))</f>
        <v/>
      </c>
      <c r="M12" s="35" t="str">
        <f ca="1">IF($D12="","",(IF(COUNTIF((INDIRECT("'"&amp;M$4&amp;"'!$B$4:$B$83")),CONCATENATE("*",$D12,"*"))=1,VLOOKUP(CONCATENATE("*",$D12,"*"),(INDIRECT("'"&amp;M$4&amp;"'!$B$4:$H$83")),7,FALSE),"")))</f>
        <v/>
      </c>
      <c r="N12" s="31" t="str">
        <f>IF(O12&lt;&gt;"",MAX(F12:M12),"")</f>
        <v/>
      </c>
      <c r="O12" s="32"/>
      <c r="P12" s="32">
        <f ca="1">COUNTIF(F12:M12,"&gt;0")</f>
        <v>3</v>
      </c>
      <c r="Q12" s="37">
        <f t="array" aca="1" ref="Q12" ca="1">IF(COUNT(F12:N12)&gt;5,SUM(LARGE(F12:N12,{1,2,3,4,5})),SUM(F12:N12))</f>
        <v>128</v>
      </c>
    </row>
    <row r="13" spans="2:17" x14ac:dyDescent="0.35">
      <c r="B13" s="33">
        <f ca="1">IF(D13="","",RANK(Q13,$Q$5:$Q$91,0))</f>
        <v>9</v>
      </c>
      <c r="C13" s="32" t="str" cm="1">
        <f t="array" ref="C13">IF(E13="F",SUMPRODUCT(($E$5:$E$91=E13)*(Q13&lt;$Q$5:$Q$91))+1,"")</f>
        <v/>
      </c>
      <c r="D13" s="30" t="s">
        <v>79</v>
      </c>
      <c r="E13" s="31"/>
      <c r="F13" s="35" t="str">
        <f ca="1">IF($D13="","",(IF(COUNTIF((INDIRECT("'"&amp;F$4&amp;"'!$B$4:$B$83")),CONCATENATE("*",$D13,"*"))=1,VLOOKUP(CONCATENATE("*",$D13,"*"),(INDIRECT("'"&amp;F$4&amp;"'!$B$4:$H$83")),7,FALSE),"")))</f>
        <v/>
      </c>
      <c r="G13" s="35">
        <f ca="1">IF($D13="","",(IF(COUNTIF((INDIRECT("'"&amp;G$4&amp;"'!$B$4:$B$83")),CONCATENATE("*",$D13,"*"))=1,VLOOKUP(CONCATENATE("*",$D13,"*"),(INDIRECT("'"&amp;G$4&amp;"'!$B$4:$H$83")),7,FALSE),"")))</f>
        <v>38</v>
      </c>
      <c r="H13" s="35">
        <f ca="1">IF($D13="","",(IF(COUNTIF((INDIRECT("'"&amp;H$4&amp;"'!$B$4:$B$83")),CONCATENATE("*",$D13,"*"))=1,VLOOKUP(CONCATENATE("*",$D13,"*"),(INDIRECT("'"&amp;H$4&amp;"'!$B$4:$H$83")),7,FALSE),"")))</f>
        <v>46</v>
      </c>
      <c r="I13" s="35">
        <f ca="1">IF($D13="","",(IF(COUNTIF((INDIRECT("'"&amp;I$4&amp;"'!$B$4:$B$83")),CONCATENATE("*",$D13,"*"))=1,VLOOKUP(CONCATENATE("*",$D13,"*"),(INDIRECT("'"&amp;I$4&amp;"'!$B$4:$H$83")),7,FALSE),"")))</f>
        <v>41</v>
      </c>
      <c r="J13" s="35" t="str">
        <f ca="1">IF($D13="","",(IF(COUNTIF((INDIRECT("'"&amp;J$4&amp;"'!$B$4:$B$83")),CONCATENATE("*",$D13,"*"))=1,VLOOKUP(CONCATENATE("*",$D13,"*"),(INDIRECT("'"&amp;J$4&amp;"'!$B$4:$H$83")),7,FALSE),"")))</f>
        <v/>
      </c>
      <c r="K13" s="35" t="str">
        <f ca="1">IF($D13="","",(IF(COUNTIF((INDIRECT("'"&amp;K$4&amp;"'!$B$4:$B$83")),CONCATENATE("*",$D13,"*"))=1,VLOOKUP(CONCATENATE("*",$D13,"*"),(INDIRECT("'"&amp;K$4&amp;"'!$B$4:$H$83")),7,FALSE),"")))</f>
        <v/>
      </c>
      <c r="L13" s="35" t="str">
        <f ca="1">IF($D13="","",(IF(COUNTIF((INDIRECT("'"&amp;L$4&amp;"'!$B$4:$B$83")),CONCATENATE("*",$D13,"*"))=1,VLOOKUP(CONCATENATE("*",$D13,"*"),(INDIRECT("'"&amp;L$4&amp;"'!$B$4:$H$83")),7,FALSE),"")))</f>
        <v/>
      </c>
      <c r="M13" s="35" t="str">
        <f ca="1">IF($D13="","",(IF(COUNTIF((INDIRECT("'"&amp;M$4&amp;"'!$B$4:$B$83")),CONCATENATE("*",$D13,"*"))=1,VLOOKUP(CONCATENATE("*",$D13,"*"),(INDIRECT("'"&amp;M$4&amp;"'!$B$4:$H$83")),7,FALSE),"")))</f>
        <v/>
      </c>
      <c r="N13" s="31" t="str">
        <f>IF(O13&lt;&gt;"",MAX(F13:M13),"")</f>
        <v/>
      </c>
      <c r="O13" s="32"/>
      <c r="P13" s="32">
        <f ca="1">COUNTIF(F13:M13,"&gt;0")</f>
        <v>3</v>
      </c>
      <c r="Q13" s="37">
        <f t="array" aca="1" ref="Q13" ca="1">IF(COUNT(F13:N13)&gt;5,SUM(LARGE(F13:N13,{1,2,3,4,5})),SUM(F13:N13))</f>
        <v>125</v>
      </c>
    </row>
    <row r="14" spans="2:17" x14ac:dyDescent="0.35">
      <c r="B14" s="33">
        <f ca="1">IF(D14="","",RANK(Q14,$Q$5:$Q$91,0))</f>
        <v>10</v>
      </c>
      <c r="C14" s="32" t="str" cm="1">
        <f t="array" ref="C14">IF(E14="F",SUMPRODUCT(($E$5:$E$91=E14)*(Q14&lt;$Q$5:$Q$91))+1,"")</f>
        <v/>
      </c>
      <c r="D14" s="30" t="s">
        <v>78</v>
      </c>
      <c r="E14" s="31"/>
      <c r="F14" s="35" t="str">
        <f ca="1">IF($D14="","",(IF(COUNTIF((INDIRECT("'"&amp;F$4&amp;"'!$B$4:$B$83")),CONCATENATE("*",$D14,"*"))=1,VLOOKUP(CONCATENATE("*",$D14,"*"),(INDIRECT("'"&amp;F$4&amp;"'!$B$4:$H$83")),7,FALSE),"")))</f>
        <v/>
      </c>
      <c r="G14" s="35">
        <f ca="1">IF($D14="","",(IF(COUNTIF((INDIRECT("'"&amp;G$4&amp;"'!$B$4:$B$83")),CONCATENATE("*",$D14,"*"))=1,VLOOKUP(CONCATENATE("*",$D14,"*"),(INDIRECT("'"&amp;G$4&amp;"'!$B$4:$H$83")),7,FALSE),"")))</f>
        <v>41</v>
      </c>
      <c r="H14" s="35">
        <f ca="1">IF($D14="","",(IF(COUNTIF((INDIRECT("'"&amp;H$4&amp;"'!$B$4:$B$83")),CONCATENATE("*",$D14,"*"))=1,VLOOKUP(CONCATENATE("*",$D14,"*"),(INDIRECT("'"&amp;H$4&amp;"'!$B$4:$H$83")),7,FALSE),"")))</f>
        <v>41</v>
      </c>
      <c r="I14" s="35">
        <f ca="1">IF($D14="","",(IF(COUNTIF((INDIRECT("'"&amp;I$4&amp;"'!$B$4:$B$83")),CONCATENATE("*",$D14,"*"))=1,VLOOKUP(CONCATENATE("*",$D14,"*"),(INDIRECT("'"&amp;I$4&amp;"'!$B$4:$H$83")),7,FALSE),"")))</f>
        <v>42</v>
      </c>
      <c r="J14" s="35" t="str">
        <f ca="1">IF($D14="","",(IF(COUNTIF((INDIRECT("'"&amp;J$4&amp;"'!$B$4:$B$83")),CONCATENATE("*",$D14,"*"))=1,VLOOKUP(CONCATENATE("*",$D14,"*"),(INDIRECT("'"&amp;J$4&amp;"'!$B$4:$H$83")),7,FALSE),"")))</f>
        <v/>
      </c>
      <c r="K14" s="35" t="str">
        <f ca="1">IF($D14="","",(IF(COUNTIF((INDIRECT("'"&amp;K$4&amp;"'!$B$4:$B$83")),CONCATENATE("*",$D14,"*"))=1,VLOOKUP(CONCATENATE("*",$D14,"*"),(INDIRECT("'"&amp;K$4&amp;"'!$B$4:$H$83")),7,FALSE),"")))</f>
        <v/>
      </c>
      <c r="L14" s="35" t="str">
        <f ca="1">IF($D14="","",(IF(COUNTIF((INDIRECT("'"&amp;L$4&amp;"'!$B$4:$B$83")),CONCATENATE("*",$D14,"*"))=1,VLOOKUP(CONCATENATE("*",$D14,"*"),(INDIRECT("'"&amp;L$4&amp;"'!$B$4:$H$83")),7,FALSE),"")))</f>
        <v/>
      </c>
      <c r="M14" s="35" t="str">
        <f ca="1">IF($D14="","",(IF(COUNTIF((INDIRECT("'"&amp;M$4&amp;"'!$B$4:$B$83")),CONCATENATE("*",$D14,"*"))=1,VLOOKUP(CONCATENATE("*",$D14,"*"),(INDIRECT("'"&amp;M$4&amp;"'!$B$4:$H$83")),7,FALSE),"")))</f>
        <v/>
      </c>
      <c r="N14" s="31" t="str">
        <f>IF(O14&lt;&gt;"",MAX(F14:M14),"")</f>
        <v/>
      </c>
      <c r="O14" s="32"/>
      <c r="P14" s="32">
        <f ca="1">COUNTIF(F14:M14,"&gt;0")</f>
        <v>3</v>
      </c>
      <c r="Q14" s="37">
        <f t="array" aca="1" ref="Q14" ca="1">IF(COUNT(F14:N14)&gt;5,SUM(LARGE(F14:N14,{1,2,3,4,5})),SUM(F14:N14))</f>
        <v>124</v>
      </c>
    </row>
    <row r="15" spans="2:17" x14ac:dyDescent="0.35">
      <c r="B15" s="33">
        <f ca="1">IF(D15="","",RANK(Q15,$Q$5:$Q$91,0))</f>
        <v>11</v>
      </c>
      <c r="C15" s="32" t="str" cm="1">
        <f t="array" ref="C15">IF(E15="F",SUMPRODUCT(($E$5:$E$91=E15)*(Q15&lt;$Q$5:$Q$91))+1,"")</f>
        <v/>
      </c>
      <c r="D15" s="30" t="s">
        <v>18</v>
      </c>
      <c r="E15" s="31"/>
      <c r="F15" s="35">
        <f ca="1">IF($D15="","",(IF(COUNTIF((INDIRECT("'"&amp;F$4&amp;"'!$B$4:$B$83")),CONCATENATE("*",$D15,"*"))=1,VLOOKUP(CONCATENATE("*",$D15,"*"),(INDIRECT("'"&amp;F$4&amp;"'!$B$4:$H$83")),7,FALSE),"")))</f>
        <v>37</v>
      </c>
      <c r="G15" s="35">
        <f ca="1">IF($D15="","",(IF(COUNTIF((INDIRECT("'"&amp;G$4&amp;"'!$B$4:$B$83")),CONCATENATE("*",$D15,"*"))=1,VLOOKUP(CONCATENATE("*",$D15,"*"),(INDIRECT("'"&amp;G$4&amp;"'!$B$4:$H$83")),7,FALSE),"")))</f>
        <v>36</v>
      </c>
      <c r="H15" s="35">
        <f ca="1">IF($D15="","",(IF(COUNTIF((INDIRECT("'"&amp;H$4&amp;"'!$B$4:$B$83")),CONCATENATE("*",$D15,"*"))=1,VLOOKUP(CONCATENATE("*",$D15,"*"),(INDIRECT("'"&amp;H$4&amp;"'!$B$4:$H$83")),7,FALSE),"")))</f>
        <v>24</v>
      </c>
      <c r="I15" s="35">
        <f ca="1">IF($D15="","",(IF(COUNTIF((INDIRECT("'"&amp;I$4&amp;"'!$B$4:$B$83")),CONCATENATE("*",$D15,"*"))=1,VLOOKUP(CONCATENATE("*",$D15,"*"),(INDIRECT("'"&amp;I$4&amp;"'!$B$4:$H$83")),7,FALSE),"")))</f>
        <v>24</v>
      </c>
      <c r="J15" s="35" t="str">
        <f ca="1">IF($D15="","",(IF(COUNTIF((INDIRECT("'"&amp;J$4&amp;"'!$B$4:$B$83")),CONCATENATE("*",$D15,"*"))=1,VLOOKUP(CONCATENATE("*",$D15,"*"),(INDIRECT("'"&amp;J$4&amp;"'!$B$4:$H$83")),7,FALSE),"")))</f>
        <v/>
      </c>
      <c r="K15" s="35" t="str">
        <f ca="1">IF($D15="","",(IF(COUNTIF((INDIRECT("'"&amp;K$4&amp;"'!$B$4:$B$83")),CONCATENATE("*",$D15,"*"))=1,VLOOKUP(CONCATENATE("*",$D15,"*"),(INDIRECT("'"&amp;K$4&amp;"'!$B$4:$H$83")),7,FALSE),"")))</f>
        <v/>
      </c>
      <c r="L15" s="35" t="str">
        <f ca="1">IF($D15="","",(IF(COUNTIF((INDIRECT("'"&amp;L$4&amp;"'!$B$4:$B$83")),CONCATENATE("*",$D15,"*"))=1,VLOOKUP(CONCATENATE("*",$D15,"*"),(INDIRECT("'"&amp;L$4&amp;"'!$B$4:$H$83")),7,FALSE),"")))</f>
        <v/>
      </c>
      <c r="M15" s="35" t="str">
        <f ca="1">IF($D15="","",(IF(COUNTIF((INDIRECT("'"&amp;M$4&amp;"'!$B$4:$B$83")),CONCATENATE("*",$D15,"*"))=1,VLOOKUP(CONCATENATE("*",$D15,"*"),(INDIRECT("'"&amp;M$4&amp;"'!$B$4:$H$83")),7,FALSE),"")))</f>
        <v/>
      </c>
      <c r="N15" s="31" t="str">
        <f>IF(O15&lt;&gt;"",MAX(F15:M15),"")</f>
        <v/>
      </c>
      <c r="O15" s="32"/>
      <c r="P15" s="32">
        <f ca="1">COUNTIF(F15:M15,"&gt;0")</f>
        <v>4</v>
      </c>
      <c r="Q15" s="37">
        <f t="array" aca="1" ref="Q15" ca="1">IF(COUNT(F15:N15)&gt;5,SUM(LARGE(F15:N15,{1,2,3,4,5})),SUM(F15:N15))</f>
        <v>121</v>
      </c>
    </row>
    <row r="16" spans="2:17" x14ac:dyDescent="0.35">
      <c r="B16" s="33">
        <f ca="1">IF(D16="","",RANK(Q16,$Q$5:$Q$91,0))</f>
        <v>12</v>
      </c>
      <c r="C16" s="32" t="str" cm="1">
        <f t="array" ref="C16">IF(E16="F",SUMPRODUCT(($E$5:$E$91=E16)*(Q16&lt;$Q$5:$Q$91))+1,"")</f>
        <v/>
      </c>
      <c r="D16" s="30" t="s">
        <v>80</v>
      </c>
      <c r="E16" s="31"/>
      <c r="F16" s="35" t="str">
        <f ca="1">IF($D16="","",(IF(COUNTIF((INDIRECT("'"&amp;F$4&amp;"'!$B$4:$B$83")),CONCATENATE("*",$D16,"*"))=1,VLOOKUP(CONCATENATE("*",$D16,"*"),(INDIRECT("'"&amp;F$4&amp;"'!$B$4:$H$83")),7,FALSE),"")))</f>
        <v/>
      </c>
      <c r="G16" s="35">
        <f ca="1">IF($D16="","",(IF(COUNTIF((INDIRECT("'"&amp;G$4&amp;"'!$B$4:$B$83")),CONCATENATE("*",$D16,"*"))=1,VLOOKUP(CONCATENATE("*",$D16,"*"),(INDIRECT("'"&amp;G$4&amp;"'!$B$4:$H$83")),7,FALSE),"")))</f>
        <v>39</v>
      </c>
      <c r="H16" s="35">
        <f ca="1">IF($D16="","",(IF(COUNTIF((INDIRECT("'"&amp;H$4&amp;"'!$B$4:$B$83")),CONCATENATE("*",$D16,"*"))=1,VLOOKUP(CONCATENATE("*",$D16,"*"),(INDIRECT("'"&amp;H$4&amp;"'!$B$4:$H$83")),7,FALSE),"")))</f>
        <v>41</v>
      </c>
      <c r="I16" s="35">
        <f ca="1">IF($D16="","",(IF(COUNTIF((INDIRECT("'"&amp;I$4&amp;"'!$B$4:$B$83")),CONCATENATE("*",$D16,"*"))=1,VLOOKUP(CONCATENATE("*",$D16,"*"),(INDIRECT("'"&amp;I$4&amp;"'!$B$4:$H$83")),7,FALSE),"")))</f>
        <v>39</v>
      </c>
      <c r="J16" s="35" t="str">
        <f ca="1">IF($D16="","",(IF(COUNTIF((INDIRECT("'"&amp;J$4&amp;"'!$B$4:$B$83")),CONCATENATE("*",$D16,"*"))=1,VLOOKUP(CONCATENATE("*",$D16,"*"),(INDIRECT("'"&amp;J$4&amp;"'!$B$4:$H$83")),7,FALSE),"")))</f>
        <v/>
      </c>
      <c r="K16" s="35" t="str">
        <f ca="1">IF($D16="","",(IF(COUNTIF((INDIRECT("'"&amp;K$4&amp;"'!$B$4:$B$83")),CONCATENATE("*",$D16,"*"))=1,VLOOKUP(CONCATENATE("*",$D16,"*"),(INDIRECT("'"&amp;K$4&amp;"'!$B$4:$H$83")),7,FALSE),"")))</f>
        <v/>
      </c>
      <c r="L16" s="35" t="str">
        <f ca="1">IF($D16="","",(IF(COUNTIF((INDIRECT("'"&amp;L$4&amp;"'!$B$4:$B$83")),CONCATENATE("*",$D16,"*"))=1,VLOOKUP(CONCATENATE("*",$D16,"*"),(INDIRECT("'"&amp;L$4&amp;"'!$B$4:$H$83")),7,FALSE),"")))</f>
        <v/>
      </c>
      <c r="M16" s="35" t="str">
        <f ca="1">IF($D16="","",(IF(COUNTIF((INDIRECT("'"&amp;M$4&amp;"'!$B$4:$B$83")),CONCATENATE("*",$D16,"*"))=1,VLOOKUP(CONCATENATE("*",$D16,"*"),(INDIRECT("'"&amp;M$4&amp;"'!$B$4:$H$83")),7,FALSE),"")))</f>
        <v/>
      </c>
      <c r="N16" s="31" t="str">
        <f>IF(O16&lt;&gt;"",MAX(F16:M16),"")</f>
        <v/>
      </c>
      <c r="O16" s="32"/>
      <c r="P16" s="32">
        <f ca="1">COUNTIF(F16:M16,"&gt;0")</f>
        <v>3</v>
      </c>
      <c r="Q16" s="37">
        <f t="array" aca="1" ref="Q16" ca="1">IF(COUNT(F16:N16)&gt;5,SUM(LARGE(F16:N16,{1,2,3,4,5})),SUM(F16:N16))</f>
        <v>119</v>
      </c>
    </row>
    <row r="17" spans="2:17" x14ac:dyDescent="0.35">
      <c r="B17" s="33">
        <f ca="1">IF(D17="","",RANK(Q17,$Q$5:$Q$91,0))</f>
        <v>13</v>
      </c>
      <c r="C17" s="32" t="str" cm="1">
        <f t="array" ref="C17">IF(E17="F",SUMPRODUCT(($E$5:$E$91=E17)*(Q17&lt;$Q$5:$Q$91))+1,"")</f>
        <v/>
      </c>
      <c r="D17" s="30" t="s">
        <v>83</v>
      </c>
      <c r="E17" s="31"/>
      <c r="F17" s="35" t="str">
        <f ca="1">IF($D17="","",(IF(COUNTIF((INDIRECT("'"&amp;F$4&amp;"'!$B$4:$B$83")),CONCATENATE("*",$D17,"*"))=1,VLOOKUP(CONCATENATE("*",$D17,"*"),(INDIRECT("'"&amp;F$4&amp;"'!$B$4:$H$83")),7,FALSE),"")))</f>
        <v/>
      </c>
      <c r="G17" s="35">
        <f ca="1">IF($D17="","",(IF(COUNTIF((INDIRECT("'"&amp;G$4&amp;"'!$B$4:$B$83")),CONCATENATE("*",$D17,"*"))=1,VLOOKUP(CONCATENATE("*",$D17,"*"),(INDIRECT("'"&amp;G$4&amp;"'!$B$4:$H$83")),7,FALSE),"")))</f>
        <v>33</v>
      </c>
      <c r="H17" s="35">
        <f ca="1">IF($D17="","",(IF(COUNTIF((INDIRECT("'"&amp;H$4&amp;"'!$B$4:$B$83")),CONCATENATE("*",$D17,"*"))=1,VLOOKUP(CONCATENATE("*",$D17,"*"),(INDIRECT("'"&amp;H$4&amp;"'!$B$4:$H$83")),7,FALSE),"")))</f>
        <v>45</v>
      </c>
      <c r="I17" s="35">
        <f ca="1">IF($D17="","",(IF(COUNTIF((INDIRECT("'"&amp;I$4&amp;"'!$B$4:$B$83")),CONCATENATE("*",$D17,"*"))=1,VLOOKUP(CONCATENATE("*",$D17,"*"),(INDIRECT("'"&amp;I$4&amp;"'!$B$4:$H$83")),7,FALSE),"")))</f>
        <v>38</v>
      </c>
      <c r="J17" s="35" t="str">
        <f ca="1">IF($D17="","",(IF(COUNTIF((INDIRECT("'"&amp;J$4&amp;"'!$B$4:$B$83")),CONCATENATE("*",$D17,"*"))=1,VLOOKUP(CONCATENATE("*",$D17,"*"),(INDIRECT("'"&amp;J$4&amp;"'!$B$4:$H$83")),7,FALSE),"")))</f>
        <v/>
      </c>
      <c r="K17" s="35" t="str">
        <f ca="1">IF($D17="","",(IF(COUNTIF((INDIRECT("'"&amp;K$4&amp;"'!$B$4:$B$83")),CONCATENATE("*",$D17,"*"))=1,VLOOKUP(CONCATENATE("*",$D17,"*"),(INDIRECT("'"&amp;K$4&amp;"'!$B$4:$H$83")),7,FALSE),"")))</f>
        <v/>
      </c>
      <c r="L17" s="35" t="str">
        <f ca="1">IF($D17="","",(IF(COUNTIF((INDIRECT("'"&amp;L$4&amp;"'!$B$4:$B$83")),CONCATENATE("*",$D17,"*"))=1,VLOOKUP(CONCATENATE("*",$D17,"*"),(INDIRECT("'"&amp;L$4&amp;"'!$B$4:$H$83")),7,FALSE),"")))</f>
        <v/>
      </c>
      <c r="M17" s="35" t="str">
        <f ca="1">IF($D17="","",(IF(COUNTIF((INDIRECT("'"&amp;M$4&amp;"'!$B$4:$B$83")),CONCATENATE("*",$D17,"*"))=1,VLOOKUP(CONCATENATE("*",$D17,"*"),(INDIRECT("'"&amp;M$4&amp;"'!$B$4:$H$83")),7,FALSE),"")))</f>
        <v/>
      </c>
      <c r="N17" s="31" t="str">
        <f>IF(O17&lt;&gt;"",MAX(F17:M17),"")</f>
        <v/>
      </c>
      <c r="O17" s="32"/>
      <c r="P17" s="32">
        <f ca="1">COUNTIF(F17:M17,"&gt;0")</f>
        <v>3</v>
      </c>
      <c r="Q17" s="37">
        <f t="array" aca="1" ref="Q17" ca="1">IF(COUNT(F17:N17)&gt;5,SUM(LARGE(F17:N17,{1,2,3,4,5})),SUM(F17:N17))</f>
        <v>116</v>
      </c>
    </row>
    <row r="18" spans="2:17" x14ac:dyDescent="0.35">
      <c r="B18" s="33">
        <f ca="1">IF(D18="","",RANK(Q18,$Q$5:$Q$91,0))</f>
        <v>14</v>
      </c>
      <c r="C18" s="32" t="str" cm="1">
        <f t="array" ref="C18">IF(E18="F",SUMPRODUCT(($E$5:$E$91=E18)*(Q18&lt;$Q$5:$Q$91))+1,"")</f>
        <v/>
      </c>
      <c r="D18" s="30" t="s">
        <v>64</v>
      </c>
      <c r="E18" s="31"/>
      <c r="F18" s="35">
        <f ca="1">IF($D18="","",(IF(COUNTIF((INDIRECT("'"&amp;F$4&amp;"'!$B$4:$B$83")),CONCATENATE("*",$D18,"*"))=1,VLOOKUP(CONCATENATE("*",$D18,"*"),(INDIRECT("'"&amp;F$4&amp;"'!$B$4:$H$83")),7,FALSE),"")))</f>
        <v>33</v>
      </c>
      <c r="G18" s="35">
        <f ca="1">IF($D18="","",(IF(COUNTIF((INDIRECT("'"&amp;G$4&amp;"'!$B$4:$B$83")),CONCATENATE("*",$D18,"*"))=1,VLOOKUP(CONCATENATE("*",$D18,"*"),(INDIRECT("'"&amp;G$4&amp;"'!$B$4:$H$83")),7,FALSE),"")))</f>
        <v>26</v>
      </c>
      <c r="H18" s="35">
        <f ca="1">IF($D18="","",(IF(COUNTIF((INDIRECT("'"&amp;H$4&amp;"'!$B$4:$B$83")),CONCATENATE("*",$D18,"*"))=1,VLOOKUP(CONCATENATE("*",$D18,"*"),(INDIRECT("'"&amp;H$4&amp;"'!$B$4:$H$83")),7,FALSE),"")))</f>
        <v>20</v>
      </c>
      <c r="I18" s="35" t="str">
        <f ca="1">IF($D18="","",(IF(COUNTIF((INDIRECT("'"&amp;I$4&amp;"'!$B$4:$B$83")),CONCATENATE("*",$D18,"*"))=1,VLOOKUP(CONCATENATE("*",$D18,"*"),(INDIRECT("'"&amp;I$4&amp;"'!$B$4:$H$83")),7,FALSE),"")))</f>
        <v>-</v>
      </c>
      <c r="J18" s="35" t="str">
        <f ca="1">IF($D18="","",(IF(COUNTIF((INDIRECT("'"&amp;J$4&amp;"'!$B$4:$B$83")),CONCATENATE("*",$D18,"*"))=1,VLOOKUP(CONCATENATE("*",$D18,"*"),(INDIRECT("'"&amp;J$4&amp;"'!$B$4:$H$83")),7,FALSE),"")))</f>
        <v/>
      </c>
      <c r="K18" s="35" t="str">
        <f ca="1">IF($D18="","",(IF(COUNTIF((INDIRECT("'"&amp;K$4&amp;"'!$B$4:$B$83")),CONCATENATE("*",$D18,"*"))=1,VLOOKUP(CONCATENATE("*",$D18,"*"),(INDIRECT("'"&amp;K$4&amp;"'!$B$4:$H$83")),7,FALSE),"")))</f>
        <v/>
      </c>
      <c r="L18" s="35" t="str">
        <f ca="1">IF($D18="","",(IF(COUNTIF((INDIRECT("'"&amp;L$4&amp;"'!$B$4:$B$83")),CONCATENATE("*",$D18,"*"))=1,VLOOKUP(CONCATENATE("*",$D18,"*"),(INDIRECT("'"&amp;L$4&amp;"'!$B$4:$H$83")),7,FALSE),"")))</f>
        <v/>
      </c>
      <c r="M18" s="35" t="str">
        <f ca="1">IF($D18="","",(IF(COUNTIF((INDIRECT("'"&amp;M$4&amp;"'!$B$4:$B$83")),CONCATENATE("*",$D18,"*"))=1,VLOOKUP(CONCATENATE("*",$D18,"*"),(INDIRECT("'"&amp;M$4&amp;"'!$B$4:$H$83")),7,FALSE),"")))</f>
        <v/>
      </c>
      <c r="N18" s="31">
        <f ca="1">IF(O18&lt;&gt;"",MAX(F18:M18),"")</f>
        <v>33</v>
      </c>
      <c r="O18" s="32" t="s">
        <v>54</v>
      </c>
      <c r="P18" s="32">
        <f ca="1">COUNTIF(F18:M18,"&gt;0")</f>
        <v>3</v>
      </c>
      <c r="Q18" s="37">
        <f t="array" aca="1" ref="Q18" ca="1">IF(COUNT(F18:N18)&gt;5,SUM(LARGE(F18:N18,{1,2,3,4,5})),SUM(F18:N18))</f>
        <v>112</v>
      </c>
    </row>
    <row r="19" spans="2:17" x14ac:dyDescent="0.35">
      <c r="B19" s="33">
        <f ca="1">IF(D19="","",RANK(Q19,$Q$5:$Q$91,0))</f>
        <v>15</v>
      </c>
      <c r="C19" s="32" t="str" cm="1">
        <f t="array" ref="C19">IF(E19="F",SUMPRODUCT(($E$5:$E$91=E19)*(Q19&lt;$Q$5:$Q$91))+1,"")</f>
        <v/>
      </c>
      <c r="D19" s="29" t="s">
        <v>60</v>
      </c>
      <c r="E19" s="32"/>
      <c r="F19" s="35">
        <f ca="1">IF($D19="","",(IF(COUNTIF((INDIRECT("'"&amp;F$4&amp;"'!$B$4:$B$83")),CONCATENATE("*",$D19,"*"))=1,VLOOKUP(CONCATENATE("*",$D19,"*"),(INDIRECT("'"&amp;F$4&amp;"'!$B$4:$H$83")),7,FALSE),"")))</f>
        <v>42</v>
      </c>
      <c r="G19" s="35" t="str">
        <f ca="1">IF($D19="","",(IF(COUNTIF((INDIRECT("'"&amp;G$4&amp;"'!$B$4:$B$83")),CONCATENATE("*",$D19,"*"))=1,VLOOKUP(CONCATENATE("*",$D19,"*"),(INDIRECT("'"&amp;G$4&amp;"'!$B$4:$H$83")),7,FALSE),"")))</f>
        <v/>
      </c>
      <c r="H19" s="35">
        <f ca="1">IF($D19="","",(IF(COUNTIF((INDIRECT("'"&amp;H$4&amp;"'!$B$4:$B$83")),CONCATENATE("*",$D19,"*"))=1,VLOOKUP(CONCATENATE("*",$D19,"*"),(INDIRECT("'"&amp;H$4&amp;"'!$B$4:$H$83")),7,FALSE),"")))</f>
        <v>37</v>
      </c>
      <c r="I19" s="35">
        <f ca="1">IF($D19="","",(IF(COUNTIF((INDIRECT("'"&amp;I$4&amp;"'!$B$4:$B$83")),CONCATENATE("*",$D19,"*"))=1,VLOOKUP(CONCATENATE("*",$D19,"*"),(INDIRECT("'"&amp;I$4&amp;"'!$B$4:$H$83")),7,FALSE),"")))</f>
        <v>30</v>
      </c>
      <c r="J19" s="35" t="str">
        <f ca="1">IF($D19="","",(IF(COUNTIF((INDIRECT("'"&amp;J$4&amp;"'!$B$4:$B$83")),CONCATENATE("*",$D19,"*"))=1,VLOOKUP(CONCATENATE("*",$D19,"*"),(INDIRECT("'"&amp;J$4&amp;"'!$B$4:$H$83")),7,FALSE),"")))</f>
        <v/>
      </c>
      <c r="K19" s="35" t="str">
        <f ca="1">IF($D19="","",(IF(COUNTIF((INDIRECT("'"&amp;K$4&amp;"'!$B$4:$B$83")),CONCATENATE("*",$D19,"*"))=1,VLOOKUP(CONCATENATE("*",$D19,"*"),(INDIRECT("'"&amp;K$4&amp;"'!$B$4:$H$83")),7,FALSE),"")))</f>
        <v/>
      </c>
      <c r="L19" s="35" t="str">
        <f ca="1">IF($D19="","",(IF(COUNTIF((INDIRECT("'"&amp;L$4&amp;"'!$B$4:$B$83")),CONCATENATE("*",$D19,"*"))=1,VLOOKUP(CONCATENATE("*",$D19,"*"),(INDIRECT("'"&amp;L$4&amp;"'!$B$4:$H$83")),7,FALSE),"")))</f>
        <v/>
      </c>
      <c r="M19" s="35" t="str">
        <f ca="1">IF($D19="","",(IF(COUNTIF((INDIRECT("'"&amp;M$4&amp;"'!$B$4:$B$83")),CONCATENATE("*",$D19,"*"))=1,VLOOKUP(CONCATENATE("*",$D19,"*"),(INDIRECT("'"&amp;M$4&amp;"'!$B$4:$H$83")),7,FALSE),"")))</f>
        <v/>
      </c>
      <c r="N19" s="32" t="str">
        <f>IF(O19&lt;&gt;"",MAX(F19:M19),"")</f>
        <v/>
      </c>
      <c r="O19" s="32"/>
      <c r="P19" s="32">
        <f ca="1">COUNTIF(F19:M19,"&gt;0")</f>
        <v>3</v>
      </c>
      <c r="Q19" s="37">
        <f t="array" aca="1" ref="Q19" ca="1">IF(COUNT(F19:N19)&gt;5,SUM(LARGE(F19:N19,{1,2,3,4,5})),SUM(F19:N19))</f>
        <v>109</v>
      </c>
    </row>
    <row r="20" spans="2:17" x14ac:dyDescent="0.35">
      <c r="B20" s="33">
        <f ca="1">IF(D20="","",RANK(Q20,$Q$5:$Q$91,0))</f>
        <v>16</v>
      </c>
      <c r="C20" s="32" t="str" cm="1">
        <f t="array" ref="C20">IF(E20="F",SUMPRODUCT(($E$5:$E$91=E20)*(Q20&lt;$Q$5:$Q$91))+1,"")</f>
        <v/>
      </c>
      <c r="D20" s="29" t="s">
        <v>10</v>
      </c>
      <c r="E20" s="32"/>
      <c r="F20" s="35">
        <f ca="1">IF($D20="","",(IF(COUNTIF((INDIRECT("'"&amp;F$4&amp;"'!$B$4:$B$83")),CONCATENATE("*",$D20,"*"))=1,VLOOKUP(CONCATENATE("*",$D20,"*"),(INDIRECT("'"&amp;F$4&amp;"'!$B$4:$H$83")),7,FALSE),"")))</f>
        <v>35</v>
      </c>
      <c r="G20" s="35">
        <f ca="1">IF($D20="","",(IF(COUNTIF((INDIRECT("'"&amp;G$4&amp;"'!$B$4:$B$83")),CONCATENATE("*",$D20,"*"))=1,VLOOKUP(CONCATENATE("*",$D20,"*"),(INDIRECT("'"&amp;G$4&amp;"'!$B$4:$H$83")),7,FALSE),"")))</f>
        <v>41</v>
      </c>
      <c r="H20" s="35" t="str">
        <f ca="1">IF($D20="","",(IF(COUNTIF((INDIRECT("'"&amp;H$4&amp;"'!$B$4:$B$83")),CONCATENATE("*",$D20,"*"))=1,VLOOKUP(CONCATENATE("*",$D20,"*"),(INDIRECT("'"&amp;H$4&amp;"'!$B$4:$H$83")),7,FALSE),"")))</f>
        <v/>
      </c>
      <c r="I20" s="35">
        <f ca="1">IF($D20="","",(IF(COUNTIF((INDIRECT("'"&amp;I$4&amp;"'!$B$4:$B$83")),CONCATENATE("*",$D20,"*"))=1,VLOOKUP(CONCATENATE("*",$D20,"*"),(INDIRECT("'"&amp;I$4&amp;"'!$B$4:$H$83")),7,FALSE),"")))</f>
        <v>32</v>
      </c>
      <c r="J20" s="35" t="str">
        <f ca="1">IF($D20="","",(IF(COUNTIF((INDIRECT("'"&amp;J$4&amp;"'!$B$4:$B$83")),CONCATENATE("*",$D20,"*"))=1,VLOOKUP(CONCATENATE("*",$D20,"*"),(INDIRECT("'"&amp;J$4&amp;"'!$B$4:$H$83")),7,FALSE),"")))</f>
        <v/>
      </c>
      <c r="K20" s="35" t="str">
        <f ca="1">IF($D20="","",(IF(COUNTIF((INDIRECT("'"&amp;K$4&amp;"'!$B$4:$B$83")),CONCATENATE("*",$D20,"*"))=1,VLOOKUP(CONCATENATE("*",$D20,"*"),(INDIRECT("'"&amp;K$4&amp;"'!$B$4:$H$83")),7,FALSE),"")))</f>
        <v/>
      </c>
      <c r="L20" s="35" t="str">
        <f ca="1">IF($D20="","",(IF(COUNTIF((INDIRECT("'"&amp;L$4&amp;"'!$B$4:$B$83")),CONCATENATE("*",$D20,"*"))=1,VLOOKUP(CONCATENATE("*",$D20,"*"),(INDIRECT("'"&amp;L$4&amp;"'!$B$4:$H$83")),7,FALSE),"")))</f>
        <v/>
      </c>
      <c r="M20" s="35" t="str">
        <f ca="1">IF($D20="","",(IF(COUNTIF((INDIRECT("'"&amp;M$4&amp;"'!$B$4:$B$83")),CONCATENATE("*",$D20,"*"))=1,VLOOKUP(CONCATENATE("*",$D20,"*"),(INDIRECT("'"&amp;M$4&amp;"'!$B$4:$H$83")),7,FALSE),"")))</f>
        <v/>
      </c>
      <c r="N20" s="32" t="str">
        <f>IF(O20&lt;&gt;"",MAX(F20:M20),"")</f>
        <v/>
      </c>
      <c r="O20" s="32"/>
      <c r="P20" s="32">
        <f ca="1">COUNTIF(F20:M20,"&gt;0")</f>
        <v>3</v>
      </c>
      <c r="Q20" s="37">
        <f t="array" aca="1" ref="Q20" ca="1">IF(COUNT(F20:N20)&gt;5,SUM(LARGE(F20:N20,{1,2,3,4,5})),SUM(F20:N20))</f>
        <v>108</v>
      </c>
    </row>
    <row r="21" spans="2:17" x14ac:dyDescent="0.35">
      <c r="B21" s="33">
        <f ca="1">IF(D21="","",RANK(Q21,$Q$5:$Q$91,0))</f>
        <v>17</v>
      </c>
      <c r="C21" s="32" t="str" cm="1">
        <f t="array" ref="C21">IF(E21="F",SUMPRODUCT(($E$5:$E$91=E21)*(Q21&lt;$Q$5:$Q$91))+1,"")</f>
        <v/>
      </c>
      <c r="D21" s="29" t="s">
        <v>17</v>
      </c>
      <c r="E21" s="32"/>
      <c r="F21" s="35">
        <f ca="1">IF($D21="","",(IF(COUNTIF((INDIRECT("'"&amp;F$4&amp;"'!$B$4:$B$83")),CONCATENATE("*",$D21,"*"))=1,VLOOKUP(CONCATENATE("*",$D21,"*"),(INDIRECT("'"&amp;F$4&amp;"'!$B$4:$H$83")),7,FALSE),"")))</f>
        <v>30</v>
      </c>
      <c r="G21" s="35">
        <f ca="1">IF($D21="","",(IF(COUNTIF((INDIRECT("'"&amp;G$4&amp;"'!$B$4:$B$83")),CONCATENATE("*",$D21,"*"))=1,VLOOKUP(CONCATENATE("*",$D21,"*"),(INDIRECT("'"&amp;G$4&amp;"'!$B$4:$H$83")),7,FALSE),"")))</f>
        <v>28</v>
      </c>
      <c r="H21" s="35">
        <f ca="1">IF($D21="","",(IF(COUNTIF((INDIRECT("'"&amp;H$4&amp;"'!$B$4:$B$83")),CONCATENATE("*",$D21,"*"))=1,VLOOKUP(CONCATENATE("*",$D21,"*"),(INDIRECT("'"&amp;H$4&amp;"'!$B$4:$H$83")),7,FALSE),"")))</f>
        <v>27</v>
      </c>
      <c r="I21" s="35">
        <f ca="1">IF($D21="","",(IF(COUNTIF((INDIRECT("'"&amp;I$4&amp;"'!$B$4:$B$83")),CONCATENATE("*",$D21,"*"))=1,VLOOKUP(CONCATENATE("*",$D21,"*"),(INDIRECT("'"&amp;I$4&amp;"'!$B$4:$H$83")),7,FALSE),"")))</f>
        <v>20</v>
      </c>
      <c r="J21" s="35" t="str">
        <f ca="1">IF($D21="","",(IF(COUNTIF((INDIRECT("'"&amp;J$4&amp;"'!$B$4:$B$83")),CONCATENATE("*",$D21,"*"))=1,VLOOKUP(CONCATENATE("*",$D21,"*"),(INDIRECT("'"&amp;J$4&amp;"'!$B$4:$H$83")),7,FALSE),"")))</f>
        <v/>
      </c>
      <c r="K21" s="35" t="str">
        <f ca="1">IF($D21="","",(IF(COUNTIF((INDIRECT("'"&amp;K$4&amp;"'!$B$4:$B$83")),CONCATENATE("*",$D21,"*"))=1,VLOOKUP(CONCATENATE("*",$D21,"*"),(INDIRECT("'"&amp;K$4&amp;"'!$B$4:$H$83")),7,FALSE),"")))</f>
        <v/>
      </c>
      <c r="L21" s="35" t="str">
        <f ca="1">IF($D21="","",(IF(COUNTIF((INDIRECT("'"&amp;L$4&amp;"'!$B$4:$B$83")),CONCATENATE("*",$D21,"*"))=1,VLOOKUP(CONCATENATE("*",$D21,"*"),(INDIRECT("'"&amp;L$4&amp;"'!$B$4:$H$83")),7,FALSE),"")))</f>
        <v/>
      </c>
      <c r="M21" s="35" t="str">
        <f ca="1">IF($D21="","",(IF(COUNTIF((INDIRECT("'"&amp;M$4&amp;"'!$B$4:$B$83")),CONCATENATE("*",$D21,"*"))=1,VLOOKUP(CONCATENATE("*",$D21,"*"),(INDIRECT("'"&amp;M$4&amp;"'!$B$4:$H$83")),7,FALSE),"")))</f>
        <v/>
      </c>
      <c r="N21" s="32" t="str">
        <f>IF(O21&lt;&gt;"",MAX(F21:M21),"")</f>
        <v/>
      </c>
      <c r="O21" s="32"/>
      <c r="P21" s="32">
        <f ca="1">COUNTIF(F21:M21,"&gt;0")</f>
        <v>4</v>
      </c>
      <c r="Q21" s="37">
        <f t="array" aca="1" ref="Q21" ca="1">IF(COUNT(F21:N21)&gt;5,SUM(LARGE(F21:N21,{1,2,3,4,5})),SUM(F21:N21))</f>
        <v>105</v>
      </c>
    </row>
    <row r="22" spans="2:17" x14ac:dyDescent="0.35">
      <c r="B22" s="33">
        <f ca="1">IF(D22="","",RANK(Q22,$Q$5:$Q$91,0))</f>
        <v>17</v>
      </c>
      <c r="C22" s="32" t="str" cm="1">
        <f t="array" ref="C22">IF(E22="F",SUMPRODUCT(($E$5:$E$91=E22)*(Q22&lt;$Q$5:$Q$91))+1,"")</f>
        <v/>
      </c>
      <c r="D22" s="30" t="s">
        <v>29</v>
      </c>
      <c r="E22" s="31"/>
      <c r="F22" s="35">
        <f ca="1">IF($D22="","",(IF(COUNTIF((INDIRECT("'"&amp;F$4&amp;"'!$B$4:$B$83")),CONCATENATE("*",$D22,"*"))=1,VLOOKUP(CONCATENATE("*",$D22,"*"),(INDIRECT("'"&amp;F$4&amp;"'!$B$4:$H$83")),7,FALSE),"")))</f>
        <v>30</v>
      </c>
      <c r="G22" s="35">
        <f ca="1">IF($D22="","",(IF(COUNTIF((INDIRECT("'"&amp;G$4&amp;"'!$B$4:$B$83")),CONCATENATE("*",$D22,"*"))=1,VLOOKUP(CONCATENATE("*",$D22,"*"),(INDIRECT("'"&amp;G$4&amp;"'!$B$4:$H$83")),7,FALSE),"")))</f>
        <v>28</v>
      </c>
      <c r="H22" s="35">
        <f ca="1">IF($D22="","",(IF(COUNTIF((INDIRECT("'"&amp;H$4&amp;"'!$B$4:$B$83")),CONCATENATE("*",$D22,"*"))=1,VLOOKUP(CONCATENATE("*",$D22,"*"),(INDIRECT("'"&amp;H$4&amp;"'!$B$4:$H$83")),7,FALSE),"")))</f>
        <v>27</v>
      </c>
      <c r="I22" s="35">
        <f ca="1">IF($D22="","",(IF(COUNTIF((INDIRECT("'"&amp;I$4&amp;"'!$B$4:$B$83")),CONCATENATE("*",$D22,"*"))=1,VLOOKUP(CONCATENATE("*",$D22,"*"),(INDIRECT("'"&amp;I$4&amp;"'!$B$4:$H$83")),7,FALSE),"")))</f>
        <v>20</v>
      </c>
      <c r="J22" s="35" t="str">
        <f ca="1">IF($D22="","",(IF(COUNTIF((INDIRECT("'"&amp;J$4&amp;"'!$B$4:$B$83")),CONCATENATE("*",$D22,"*"))=1,VLOOKUP(CONCATENATE("*",$D22,"*"),(INDIRECT("'"&amp;J$4&amp;"'!$B$4:$H$83")),7,FALSE),"")))</f>
        <v/>
      </c>
      <c r="K22" s="35" t="str">
        <f ca="1">IF($D22="","",(IF(COUNTIF((INDIRECT("'"&amp;K$4&amp;"'!$B$4:$B$83")),CONCATENATE("*",$D22,"*"))=1,VLOOKUP(CONCATENATE("*",$D22,"*"),(INDIRECT("'"&amp;K$4&amp;"'!$B$4:$H$83")),7,FALSE),"")))</f>
        <v/>
      </c>
      <c r="L22" s="35" t="str">
        <f ca="1">IF($D22="","",(IF(COUNTIF((INDIRECT("'"&amp;L$4&amp;"'!$B$4:$B$83")),CONCATENATE("*",$D22,"*"))=1,VLOOKUP(CONCATENATE("*",$D22,"*"),(INDIRECT("'"&amp;L$4&amp;"'!$B$4:$H$83")),7,FALSE),"")))</f>
        <v/>
      </c>
      <c r="M22" s="35" t="str">
        <f ca="1">IF($D22="","",(IF(COUNTIF((INDIRECT("'"&amp;M$4&amp;"'!$B$4:$B$83")),CONCATENATE("*",$D22,"*"))=1,VLOOKUP(CONCATENATE("*",$D22,"*"),(INDIRECT("'"&amp;M$4&amp;"'!$B$4:$H$83")),7,FALSE),"")))</f>
        <v/>
      </c>
      <c r="N22" s="31" t="str">
        <f>IF(O22&lt;&gt;"",MAX(F22:M22),"")</f>
        <v/>
      </c>
      <c r="O22" s="32"/>
      <c r="P22" s="32">
        <f ca="1">COUNTIF(F22:M22,"&gt;0")</f>
        <v>4</v>
      </c>
      <c r="Q22" s="37">
        <f t="array" aca="1" ref="Q22" ca="1">IF(COUNT(F22:N22)&gt;5,SUM(LARGE(F22:N22,{1,2,3,4,5})),SUM(F22:N22))</f>
        <v>105</v>
      </c>
    </row>
    <row r="23" spans="2:17" x14ac:dyDescent="0.35">
      <c r="B23" s="33">
        <f ca="1">IF(D23="","",RANK(Q23,$Q$5:$Q$91,0))</f>
        <v>19</v>
      </c>
      <c r="C23" s="32" t="str" cm="1">
        <f t="array" ref="C23">IF(E23="F",SUMPRODUCT(($E$5:$E$91=E23)*(Q23&lt;$Q$5:$Q$91))+1,"")</f>
        <v/>
      </c>
      <c r="D23" s="30" t="s">
        <v>65</v>
      </c>
      <c r="E23" s="31"/>
      <c r="F23" s="35">
        <f ca="1">IF($D23="","",(IF(COUNTIF((INDIRECT("'"&amp;F$4&amp;"'!$B$4:$B$83")),CONCATENATE("*",$D23,"*"))=1,VLOOKUP(CONCATENATE("*",$D23,"*"),(INDIRECT("'"&amp;F$4&amp;"'!$B$4:$H$83")),7,FALSE),"")))</f>
        <v>28</v>
      </c>
      <c r="G23" s="35">
        <f ca="1">IF($D23="","",(IF(COUNTIF((INDIRECT("'"&amp;G$4&amp;"'!$B$4:$B$83")),CONCATENATE("*",$D23,"*"))=1,VLOOKUP(CONCATENATE("*",$D23,"*"),(INDIRECT("'"&amp;G$4&amp;"'!$B$4:$H$83")),7,FALSE),"")))</f>
        <v>36</v>
      </c>
      <c r="H23" s="35">
        <f ca="1">IF($D23="","",(IF(COUNTIF((INDIRECT("'"&amp;H$4&amp;"'!$B$4:$B$83")),CONCATENATE("*",$D23,"*"))=1,VLOOKUP(CONCATENATE("*",$D23,"*"),(INDIRECT("'"&amp;H$4&amp;"'!$B$4:$H$83")),7,FALSE),"")))</f>
        <v>25</v>
      </c>
      <c r="I23" s="35">
        <f ca="1">IF($D23="","",(IF(COUNTIF((INDIRECT("'"&amp;I$4&amp;"'!$B$4:$B$83")),CONCATENATE("*",$D23,"*"))=1,VLOOKUP(CONCATENATE("*",$D23,"*"),(INDIRECT("'"&amp;I$4&amp;"'!$B$4:$H$83")),7,FALSE),"")))</f>
        <v>14</v>
      </c>
      <c r="J23" s="35" t="str">
        <f ca="1">IF($D23="","",(IF(COUNTIF((INDIRECT("'"&amp;J$4&amp;"'!$B$4:$B$83")),CONCATENATE("*",$D23,"*"))=1,VLOOKUP(CONCATENATE("*",$D23,"*"),(INDIRECT("'"&amp;J$4&amp;"'!$B$4:$H$83")),7,FALSE),"")))</f>
        <v/>
      </c>
      <c r="K23" s="35" t="str">
        <f ca="1">IF($D23="","",(IF(COUNTIF((INDIRECT("'"&amp;K$4&amp;"'!$B$4:$B$83")),CONCATENATE("*",$D23,"*"))=1,VLOOKUP(CONCATENATE("*",$D23,"*"),(INDIRECT("'"&amp;K$4&amp;"'!$B$4:$H$83")),7,FALSE),"")))</f>
        <v/>
      </c>
      <c r="L23" s="35" t="str">
        <f ca="1">IF($D23="","",(IF(COUNTIF((INDIRECT("'"&amp;L$4&amp;"'!$B$4:$B$83")),CONCATENATE("*",$D23,"*"))=1,VLOOKUP(CONCATENATE("*",$D23,"*"),(INDIRECT("'"&amp;L$4&amp;"'!$B$4:$H$83")),7,FALSE),"")))</f>
        <v/>
      </c>
      <c r="M23" s="35" t="str">
        <f ca="1">IF($D23="","",(IF(COUNTIF((INDIRECT("'"&amp;M$4&amp;"'!$B$4:$B$83")),CONCATENATE("*",$D23,"*"))=1,VLOOKUP(CONCATENATE("*",$D23,"*"),(INDIRECT("'"&amp;M$4&amp;"'!$B$4:$H$83")),7,FALSE),"")))</f>
        <v/>
      </c>
      <c r="N23" s="31" t="str">
        <f>IF(O23&lt;&gt;"",MAX(F23:M23),"")</f>
        <v/>
      </c>
      <c r="O23" s="32"/>
      <c r="P23" s="32">
        <f ca="1">COUNTIF(F23:M23,"&gt;0")</f>
        <v>4</v>
      </c>
      <c r="Q23" s="37">
        <f t="array" aca="1" ref="Q23" ca="1">IF(COUNT(F23:N23)&gt;5,SUM(LARGE(F23:N23,{1,2,3,4,5})),SUM(F23:N23))</f>
        <v>103</v>
      </c>
    </row>
    <row r="24" spans="2:17" x14ac:dyDescent="0.35">
      <c r="B24" s="33">
        <f ca="1">IF(D24="","",RANK(Q24,$Q$5:$Q$91,0))</f>
        <v>20</v>
      </c>
      <c r="C24" s="32" t="str" cm="1">
        <f t="array" ref="C24">IF(E24="F",SUMPRODUCT(($E$5:$E$91=E24)*(Q24&lt;$Q$5:$Q$91))+1,"")</f>
        <v/>
      </c>
      <c r="D24" s="30" t="s">
        <v>9</v>
      </c>
      <c r="E24" s="38"/>
      <c r="F24" s="35">
        <f ca="1">IF($D24="","",(IF(COUNTIF((INDIRECT("'"&amp;F$4&amp;"'!$B$4:$B$83")),CONCATENATE("*",$D24,"*"))=1,VLOOKUP(CONCATENATE("*",$D24,"*"),(INDIRECT("'"&amp;F$4&amp;"'!$B$4:$H$83")),7,FALSE),"")))</f>
        <v>50</v>
      </c>
      <c r="G24" s="35" t="str">
        <f ca="1">IF($D24="","",(IF(COUNTIF((INDIRECT("'"&amp;G$4&amp;"'!$B$4:$B$83")),CONCATENATE("*",$D24,"*"))=1,VLOOKUP(CONCATENATE("*",$D24,"*"),(INDIRECT("'"&amp;G$4&amp;"'!$B$4:$H$83")),7,FALSE),"")))</f>
        <v/>
      </c>
      <c r="H24" s="35" t="str">
        <f ca="1">IF($D24="","",(IF(COUNTIF((INDIRECT("'"&amp;H$4&amp;"'!$B$4:$B$83")),CONCATENATE("*",$D24,"*"))=1,VLOOKUP(CONCATENATE("*",$D24,"*"),(INDIRECT("'"&amp;H$4&amp;"'!$B$4:$H$83")),7,FALSE),"")))</f>
        <v/>
      </c>
      <c r="I24" s="35">
        <f ca="1">IF($D24="","",(IF(COUNTIF((INDIRECT("'"&amp;I$4&amp;"'!$B$4:$B$83")),CONCATENATE("*",$D24,"*"))=1,VLOOKUP(CONCATENATE("*",$D24,"*"),(INDIRECT("'"&amp;I$4&amp;"'!$B$4:$H$83")),7,FALSE),"")))</f>
        <v>50</v>
      </c>
      <c r="J24" s="35" t="str">
        <f ca="1">IF($D24="","",(IF(COUNTIF((INDIRECT("'"&amp;J$4&amp;"'!$B$4:$B$83")),CONCATENATE("*",$D24,"*"))=1,VLOOKUP(CONCATENATE("*",$D24,"*"),(INDIRECT("'"&amp;J$4&amp;"'!$B$4:$H$83")),7,FALSE),"")))</f>
        <v/>
      </c>
      <c r="K24" s="35" t="str">
        <f ca="1">IF($D24="","",(IF(COUNTIF((INDIRECT("'"&amp;K$4&amp;"'!$B$4:$B$83")),CONCATENATE("*",$D24,"*"))=1,VLOOKUP(CONCATENATE("*",$D24,"*"),(INDIRECT("'"&amp;K$4&amp;"'!$B$4:$H$83")),7,FALSE),"")))</f>
        <v/>
      </c>
      <c r="L24" s="35" t="str">
        <f ca="1">IF($D24="","",(IF(COUNTIF((INDIRECT("'"&amp;L$4&amp;"'!$B$4:$B$83")),CONCATENATE("*",$D24,"*"))=1,VLOOKUP(CONCATENATE("*",$D24,"*"),(INDIRECT("'"&amp;L$4&amp;"'!$B$4:$H$83")),7,FALSE),"")))</f>
        <v/>
      </c>
      <c r="M24" s="35" t="str">
        <f ca="1">IF($D24="","",(IF(COUNTIF((INDIRECT("'"&amp;M$4&amp;"'!$B$4:$B$83")),CONCATENATE("*",$D24,"*"))=1,VLOOKUP(CONCATENATE("*",$D24,"*"),(INDIRECT("'"&amp;M$4&amp;"'!$B$4:$H$83")),7,FALSE),"")))</f>
        <v/>
      </c>
      <c r="N24" s="31" t="str">
        <f>IF(O24&lt;&gt;"",MAX(F24:M24),"")</f>
        <v/>
      </c>
      <c r="O24" s="32"/>
      <c r="P24" s="32">
        <f ca="1">COUNTIF(F24:M24,"&gt;0")</f>
        <v>2</v>
      </c>
      <c r="Q24" s="37">
        <f t="array" aca="1" ref="Q24" ca="1">IF(COUNT(F24:N24)&gt;5,SUM(LARGE(F24:N24,{1,2,3,4,5})),SUM(F24:N24))</f>
        <v>100</v>
      </c>
    </row>
    <row r="25" spans="2:17" x14ac:dyDescent="0.35">
      <c r="B25" s="33">
        <f ca="1">IF(D25="","",RANK(Q25,$Q$5:$Q$91,0))</f>
        <v>21</v>
      </c>
      <c r="C25" s="32" t="str" cm="1">
        <f t="array" ref="C25">IF(E25="F",SUMPRODUCT(($E$5:$E$91=E25)*(Q25&lt;$Q$5:$Q$91))+1,"")</f>
        <v/>
      </c>
      <c r="D25" s="30" t="s">
        <v>12</v>
      </c>
      <c r="E25" s="31"/>
      <c r="F25" s="35" t="str">
        <f ca="1">IF($D25="","",(IF(COUNTIF((INDIRECT("'"&amp;F$4&amp;"'!$B$4:$B$83")),CONCATENATE("*",$D25,"*"))=1,VLOOKUP(CONCATENATE("*",$D25,"*"),(INDIRECT("'"&amp;F$4&amp;"'!$B$4:$H$83")),7,FALSE),"")))</f>
        <v>-</v>
      </c>
      <c r="G25" s="35">
        <f ca="1">IF($D25="","",(IF(COUNTIF((INDIRECT("'"&amp;G$4&amp;"'!$B$4:$B$83")),CONCATENATE("*",$D25,"*"))=1,VLOOKUP(CONCATENATE("*",$D25,"*"),(INDIRECT("'"&amp;G$4&amp;"'!$B$4:$H$83")),7,FALSE),"")))</f>
        <v>29</v>
      </c>
      <c r="H25" s="35">
        <f ca="1">IF($D25="","",(IF(COUNTIF((INDIRECT("'"&amp;H$4&amp;"'!$B$4:$B$83")),CONCATENATE("*",$D25,"*"))=1,VLOOKUP(CONCATENATE("*",$D25,"*"),(INDIRECT("'"&amp;H$4&amp;"'!$B$4:$H$83")),7,FALSE),"")))</f>
        <v>32</v>
      </c>
      <c r="I25" s="35" t="str">
        <f ca="1">IF($D25="","",(IF(COUNTIF((INDIRECT("'"&amp;I$4&amp;"'!$B$4:$B$83")),CONCATENATE("*",$D25,"*"))=1,VLOOKUP(CONCATENATE("*",$D25,"*"),(INDIRECT("'"&amp;I$4&amp;"'!$B$4:$H$83")),7,FALSE),"")))</f>
        <v/>
      </c>
      <c r="J25" s="35" t="str">
        <f ca="1">IF($D25="","",(IF(COUNTIF((INDIRECT("'"&amp;J$4&amp;"'!$B$4:$B$83")),CONCATENATE("*",$D25,"*"))=1,VLOOKUP(CONCATENATE("*",$D25,"*"),(INDIRECT("'"&amp;J$4&amp;"'!$B$4:$H$83")),7,FALSE),"")))</f>
        <v/>
      </c>
      <c r="K25" s="35" t="str">
        <f ca="1">IF($D25="","",(IF(COUNTIF((INDIRECT("'"&amp;K$4&amp;"'!$B$4:$B$83")),CONCATENATE("*",$D25,"*"))=1,VLOOKUP(CONCATENATE("*",$D25,"*"),(INDIRECT("'"&amp;K$4&amp;"'!$B$4:$H$83")),7,FALSE),"")))</f>
        <v/>
      </c>
      <c r="L25" s="35" t="str">
        <f ca="1">IF($D25="","",(IF(COUNTIF((INDIRECT("'"&amp;L$4&amp;"'!$B$4:$B$83")),CONCATENATE("*",$D25,"*"))=1,VLOOKUP(CONCATENATE("*",$D25,"*"),(INDIRECT("'"&amp;L$4&amp;"'!$B$4:$H$83")),7,FALSE),"")))</f>
        <v/>
      </c>
      <c r="M25" s="35" t="str">
        <f ca="1">IF($D25="","",(IF(COUNTIF((INDIRECT("'"&amp;M$4&amp;"'!$B$4:$B$83")),CONCATENATE("*",$D25,"*"))=1,VLOOKUP(CONCATENATE("*",$D25,"*"),(INDIRECT("'"&amp;M$4&amp;"'!$B$4:$H$83")),7,FALSE),"")))</f>
        <v/>
      </c>
      <c r="N25" s="31">
        <f ca="1">IF(O25&lt;&gt;"",MAX(F25:M25),"")</f>
        <v>32</v>
      </c>
      <c r="O25" s="32" t="s">
        <v>52</v>
      </c>
      <c r="P25" s="32">
        <f ca="1">COUNTIF(F25:M25,"&gt;0")</f>
        <v>2</v>
      </c>
      <c r="Q25" s="37">
        <f t="array" aca="1" ref="Q25" ca="1">IF(COUNT(F25:N25)&gt;5,SUM(LARGE(F25:N25,{1,2,3,4,5})),SUM(F25:N25))</f>
        <v>93</v>
      </c>
    </row>
    <row r="26" spans="2:17" x14ac:dyDescent="0.35">
      <c r="B26" s="33">
        <f ca="1">IF(D26="","",RANK(Q26,$Q$5:$Q$91,0))</f>
        <v>22</v>
      </c>
      <c r="C26" s="32" t="str" cm="1">
        <f t="array" ref="C26">IF(E26="F",SUMPRODUCT(($E$5:$E$91=E26)*(Q26&lt;$Q$5:$Q$91))+1,"")</f>
        <v/>
      </c>
      <c r="D26" s="30" t="s">
        <v>57</v>
      </c>
      <c r="E26" s="31"/>
      <c r="F26" s="35">
        <f ca="1">IF($D26="","",(IF(COUNTIF((INDIRECT("'"&amp;F$4&amp;"'!$B$4:$B$83")),CONCATENATE("*",$D26,"*"))=1,VLOOKUP(CONCATENATE("*",$D26,"*"),(INDIRECT("'"&amp;F$4&amp;"'!$B$4:$H$83")),7,FALSE),"")))</f>
        <v>48</v>
      </c>
      <c r="G26" s="35">
        <f ca="1">IF($D26="","",(IF(COUNTIF((INDIRECT("'"&amp;G$4&amp;"'!$B$4:$B$83")),CONCATENATE("*",$D26,"*"))=1,VLOOKUP(CONCATENATE("*",$D26,"*"),(INDIRECT("'"&amp;G$4&amp;"'!$B$4:$H$83")),7,FALSE),"")))</f>
        <v>44</v>
      </c>
      <c r="H26" s="35" t="str">
        <f ca="1">IF($D26="","",(IF(COUNTIF((INDIRECT("'"&amp;H$4&amp;"'!$B$4:$B$83")),CONCATENATE("*",$D26,"*"))=1,VLOOKUP(CONCATENATE("*",$D26,"*"),(INDIRECT("'"&amp;H$4&amp;"'!$B$4:$H$83")),7,FALSE),"")))</f>
        <v/>
      </c>
      <c r="I26" s="35" t="str">
        <f ca="1">IF($D26="","",(IF(COUNTIF((INDIRECT("'"&amp;I$4&amp;"'!$B$4:$B$83")),CONCATENATE("*",$D26,"*"))=1,VLOOKUP(CONCATENATE("*",$D26,"*"),(INDIRECT("'"&amp;I$4&amp;"'!$B$4:$H$83")),7,FALSE),"")))</f>
        <v/>
      </c>
      <c r="J26" s="35" t="str">
        <f ca="1">IF($D26="","",(IF(COUNTIF((INDIRECT("'"&amp;J$4&amp;"'!$B$4:$B$83")),CONCATENATE("*",$D26,"*"))=1,VLOOKUP(CONCATENATE("*",$D26,"*"),(INDIRECT("'"&amp;J$4&amp;"'!$B$4:$H$83")),7,FALSE),"")))</f>
        <v/>
      </c>
      <c r="K26" s="35" t="str">
        <f ca="1">IF($D26="","",(IF(COUNTIF((INDIRECT("'"&amp;K$4&amp;"'!$B$4:$B$83")),CONCATENATE("*",$D26,"*"))=1,VLOOKUP(CONCATENATE("*",$D26,"*"),(INDIRECT("'"&amp;K$4&amp;"'!$B$4:$H$83")),7,FALSE),"")))</f>
        <v/>
      </c>
      <c r="L26" s="35" t="str">
        <f ca="1">IF($D26="","",(IF(COUNTIF((INDIRECT("'"&amp;L$4&amp;"'!$B$4:$B$83")),CONCATENATE("*",$D26,"*"))=1,VLOOKUP(CONCATENATE("*",$D26,"*"),(INDIRECT("'"&amp;L$4&amp;"'!$B$4:$H$83")),7,FALSE),"")))</f>
        <v/>
      </c>
      <c r="M26" s="35" t="str">
        <f ca="1">IF($D26="","",(IF(COUNTIF((INDIRECT("'"&amp;M$4&amp;"'!$B$4:$B$83")),CONCATENATE("*",$D26,"*"))=1,VLOOKUP(CONCATENATE("*",$D26,"*"),(INDIRECT("'"&amp;M$4&amp;"'!$B$4:$H$83")),7,FALSE),"")))</f>
        <v/>
      </c>
      <c r="N26" s="31" t="str">
        <f>IF(O26&lt;&gt;"",MAX(F26:M26),"")</f>
        <v/>
      </c>
      <c r="O26" s="32"/>
      <c r="P26" s="32">
        <f ca="1">COUNTIF(F26:M26,"&gt;0")</f>
        <v>2</v>
      </c>
      <c r="Q26" s="37">
        <f t="array" aca="1" ref="Q26" ca="1">IF(COUNT(F26:N26)&gt;5,SUM(LARGE(F26:N26,{1,2,3,4,5})),SUM(F26:N26))</f>
        <v>92</v>
      </c>
    </row>
    <row r="27" spans="2:17" x14ac:dyDescent="0.35">
      <c r="B27" s="33">
        <f ca="1">IF(D27="","",RANK(Q27,$Q$5:$Q$91,0))</f>
        <v>22</v>
      </c>
      <c r="C27" s="32" t="str" cm="1">
        <f t="array" ref="C27">IF(E27="F",SUMPRODUCT(($E$5:$E$91=E27)*(Q27&lt;$Q$5:$Q$91))+1,"")</f>
        <v/>
      </c>
      <c r="D27" s="29" t="s">
        <v>69</v>
      </c>
      <c r="E27" s="38"/>
      <c r="F27" s="35">
        <f ca="1">IF($D27="","",(IF(COUNTIF((INDIRECT("'"&amp;F$4&amp;"'!$B$4:$B$83")),CONCATENATE("*",$D27,"*"))=1,VLOOKUP(CONCATENATE("*",$D27,"*"),(INDIRECT("'"&amp;F$4&amp;"'!$B$4:$H$83")),7,FALSE),"")))</f>
        <v>42</v>
      </c>
      <c r="G27" s="35">
        <f ca="1">IF($D27="","",(IF(COUNTIF((INDIRECT("'"&amp;G$4&amp;"'!$B$4:$B$83")),CONCATENATE("*",$D27,"*"))=1,VLOOKUP(CONCATENATE("*",$D27,"*"),(INDIRECT("'"&amp;G$4&amp;"'!$B$4:$H$83")),7,FALSE),"")))</f>
        <v>50</v>
      </c>
      <c r="H27" s="35" t="str">
        <f ca="1">IF($D27="","",(IF(COUNTIF((INDIRECT("'"&amp;H$4&amp;"'!$B$4:$B$83")),CONCATENATE("*",$D27,"*"))=1,VLOOKUP(CONCATENATE("*",$D27,"*"),(INDIRECT("'"&amp;H$4&amp;"'!$B$4:$H$83")),7,FALSE),"")))</f>
        <v/>
      </c>
      <c r="I27" s="35" t="str">
        <f ca="1">IF($D27="","",(IF(COUNTIF((INDIRECT("'"&amp;I$4&amp;"'!$B$4:$B$83")),CONCATENATE("*",$D27,"*"))=1,VLOOKUP(CONCATENATE("*",$D27,"*"),(INDIRECT("'"&amp;I$4&amp;"'!$B$4:$H$83")),7,FALSE),"")))</f>
        <v/>
      </c>
      <c r="J27" s="35" t="str">
        <f ca="1">IF($D27="","",(IF(COUNTIF((INDIRECT("'"&amp;J$4&amp;"'!$B$4:$B$83")),CONCATENATE("*",$D27,"*"))=1,VLOOKUP(CONCATENATE("*",$D27,"*"),(INDIRECT("'"&amp;J$4&amp;"'!$B$4:$H$83")),7,FALSE),"")))</f>
        <v/>
      </c>
      <c r="K27" s="35" t="str">
        <f ca="1">IF($D27="","",(IF(COUNTIF((INDIRECT("'"&amp;K$4&amp;"'!$B$4:$B$83")),CONCATENATE("*",$D27,"*"))=1,VLOOKUP(CONCATENATE("*",$D27,"*"),(INDIRECT("'"&amp;K$4&amp;"'!$B$4:$H$83")),7,FALSE),"")))</f>
        <v/>
      </c>
      <c r="L27" s="35" t="str">
        <f ca="1">IF($D27="","",(IF(COUNTIF((INDIRECT("'"&amp;L$4&amp;"'!$B$4:$B$83")),CONCATENATE("*",$D27,"*"))=1,VLOOKUP(CONCATENATE("*",$D27,"*"),(INDIRECT("'"&amp;L$4&amp;"'!$B$4:$H$83")),7,FALSE),"")))</f>
        <v/>
      </c>
      <c r="M27" s="35" t="str">
        <f ca="1">IF($D27="","",(IF(COUNTIF((INDIRECT("'"&amp;M$4&amp;"'!$B$4:$B$83")),CONCATENATE("*",$D27,"*"))=1,VLOOKUP(CONCATENATE("*",$D27,"*"),(INDIRECT("'"&amp;M$4&amp;"'!$B$4:$H$83")),7,FALSE),"")))</f>
        <v/>
      </c>
      <c r="N27" s="31" t="str">
        <f>IF(O27&lt;&gt;"",MAX(F27:M27),"")</f>
        <v/>
      </c>
      <c r="O27" s="32"/>
      <c r="P27" s="32">
        <f ca="1">COUNTIF(F27:M27,"&gt;0")</f>
        <v>2</v>
      </c>
      <c r="Q27" s="37">
        <f t="array" aca="1" ref="Q27" ca="1">IF(COUNT(F27:N27)&gt;5,SUM(LARGE(F27:N27,{1,2,3,4,5})),SUM(F27:N27))</f>
        <v>92</v>
      </c>
    </row>
    <row r="28" spans="2:17" x14ac:dyDescent="0.35">
      <c r="B28" s="33">
        <f ca="1">IF(D28="","",RANK(Q28,$Q$5:$Q$91,0))</f>
        <v>24</v>
      </c>
      <c r="C28" s="32" t="str" cm="1">
        <f t="array" ref="C28">IF(E28="F",SUMPRODUCT(($E$5:$E$91=E28)*(Q28&lt;$Q$5:$Q$91))+1,"")</f>
        <v/>
      </c>
      <c r="D28" s="29" t="s">
        <v>8</v>
      </c>
      <c r="E28" s="32"/>
      <c r="F28" s="35">
        <f ca="1">IF($D28="","",(IF(COUNTIF((INDIRECT("'"&amp;F$4&amp;"'!$B$4:$B$83")),CONCATENATE("*",$D28,"*"))=1,VLOOKUP(CONCATENATE("*",$D28,"*"),(INDIRECT("'"&amp;F$4&amp;"'!$B$4:$H$83")),7,FALSE),"")))</f>
        <v>44</v>
      </c>
      <c r="G28" s="35" t="str">
        <f ca="1">IF($D28="","",(IF(COUNTIF((INDIRECT("'"&amp;G$4&amp;"'!$B$4:$B$83")),CONCATENATE("*",$D28,"*"))=1,VLOOKUP(CONCATENATE("*",$D28,"*"),(INDIRECT("'"&amp;G$4&amp;"'!$B$4:$H$83")),7,FALSE),"")))</f>
        <v/>
      </c>
      <c r="H28" s="35" t="str">
        <f ca="1">IF($D28="","",(IF(COUNTIF((INDIRECT("'"&amp;H$4&amp;"'!$B$4:$B$83")),CONCATENATE("*",$D28,"*"))=1,VLOOKUP(CONCATENATE("*",$D28,"*"),(INDIRECT("'"&amp;H$4&amp;"'!$B$4:$H$83")),7,FALSE),"")))</f>
        <v/>
      </c>
      <c r="I28" s="35">
        <f ca="1">IF($D28="","",(IF(COUNTIF((INDIRECT("'"&amp;I$4&amp;"'!$B$4:$B$83")),CONCATENATE("*",$D28,"*"))=1,VLOOKUP(CONCATENATE("*",$D28,"*"),(INDIRECT("'"&amp;I$4&amp;"'!$B$4:$H$83")),7,FALSE),"")))</f>
        <v>47</v>
      </c>
      <c r="J28" s="35" t="str">
        <f ca="1">IF($D28="","",(IF(COUNTIF((INDIRECT("'"&amp;J$4&amp;"'!$B$4:$B$83")),CONCATENATE("*",$D28,"*"))=1,VLOOKUP(CONCATENATE("*",$D28,"*"),(INDIRECT("'"&amp;J$4&amp;"'!$B$4:$H$83")),7,FALSE),"")))</f>
        <v/>
      </c>
      <c r="K28" s="35" t="str">
        <f ca="1">IF($D28="","",(IF(COUNTIF((INDIRECT("'"&amp;K$4&amp;"'!$B$4:$B$83")),CONCATENATE("*",$D28,"*"))=1,VLOOKUP(CONCATENATE("*",$D28,"*"),(INDIRECT("'"&amp;K$4&amp;"'!$B$4:$H$83")),7,FALSE),"")))</f>
        <v/>
      </c>
      <c r="L28" s="35" t="str">
        <f ca="1">IF($D28="","",(IF(COUNTIF((INDIRECT("'"&amp;L$4&amp;"'!$B$4:$B$83")),CONCATENATE("*",$D28,"*"))=1,VLOOKUP(CONCATENATE("*",$D28,"*"),(INDIRECT("'"&amp;L$4&amp;"'!$B$4:$H$83")),7,FALSE),"")))</f>
        <v/>
      </c>
      <c r="M28" s="35" t="str">
        <f ca="1">IF($D28="","",(IF(COUNTIF((INDIRECT("'"&amp;M$4&amp;"'!$B$4:$B$83")),CONCATENATE("*",$D28,"*"))=1,VLOOKUP(CONCATENATE("*",$D28,"*"),(INDIRECT("'"&amp;M$4&amp;"'!$B$4:$H$83")),7,FALSE),"")))</f>
        <v/>
      </c>
      <c r="N28" s="32" t="str">
        <f>IF(O28&lt;&gt;"",MAX(F28:M28),"")</f>
        <v/>
      </c>
      <c r="O28" s="32"/>
      <c r="P28" s="32">
        <f ca="1">COUNTIF(F28:M28,"&gt;0")</f>
        <v>2</v>
      </c>
      <c r="Q28" s="37">
        <f t="array" aca="1" ref="Q28" ca="1">IF(COUNT(F28:N28)&gt;5,SUM(LARGE(F28:N28,{1,2,3,4,5})),SUM(F28:N28))</f>
        <v>91</v>
      </c>
    </row>
    <row r="29" spans="2:17" x14ac:dyDescent="0.35">
      <c r="B29" s="33">
        <f ca="1">IF(D29="","",RANK(Q29,$Q$5:$Q$91,0))</f>
        <v>25</v>
      </c>
      <c r="C29" s="32" cm="1">
        <f t="array" aca="1" ref="C29" ca="1">IF(E29="F",SUMPRODUCT(($E$5:$E$91=E29)*(Q29&lt;$Q$5:$Q$91))+1,"")</f>
        <v>1</v>
      </c>
      <c r="D29" s="29" t="s">
        <v>28</v>
      </c>
      <c r="E29" s="58" t="s">
        <v>49</v>
      </c>
      <c r="F29" s="35">
        <f ca="1">IF($D29="","",(IF(COUNTIF((INDIRECT("'"&amp;F$4&amp;"'!$B$4:$B$83")),CONCATENATE("*",$D29,"*"))=1,VLOOKUP(CONCATENATE("*",$D29,"*"),(INDIRECT("'"&amp;F$4&amp;"'!$B$4:$H$83")),7,FALSE),"")))</f>
        <v>32</v>
      </c>
      <c r="G29" s="35">
        <f ca="1">IF($D29="","",(IF(COUNTIF((INDIRECT("'"&amp;G$4&amp;"'!$B$4:$B$83")),CONCATENATE("*",$D29,"*"))=1,VLOOKUP(CONCATENATE("*",$D29,"*"),(INDIRECT("'"&amp;G$4&amp;"'!$B$4:$H$83")),7,FALSE),"")))</f>
        <v>31</v>
      </c>
      <c r="H29" s="35">
        <f ca="1">IF($D29="","",(IF(COUNTIF((INDIRECT("'"&amp;H$4&amp;"'!$B$4:$B$83")),CONCATENATE("*",$D29,"*"))=1,VLOOKUP(CONCATENATE("*",$D29,"*"),(INDIRECT("'"&amp;H$4&amp;"'!$B$4:$H$83")),7,FALSE),"")))</f>
        <v>22</v>
      </c>
      <c r="I29" s="35" t="str">
        <f ca="1">IF($D29="","",(IF(COUNTIF((INDIRECT("'"&amp;I$4&amp;"'!$B$4:$B$83")),CONCATENATE("*",$D29,"*"))=1,VLOOKUP(CONCATENATE("*",$D29,"*"),(INDIRECT("'"&amp;I$4&amp;"'!$B$4:$H$83")),7,FALSE),"")))</f>
        <v/>
      </c>
      <c r="J29" s="35" t="str">
        <f ca="1">IF($D29="","",(IF(COUNTIF((INDIRECT("'"&amp;J$4&amp;"'!$B$4:$B$83")),CONCATENATE("*",$D29,"*"))=1,VLOOKUP(CONCATENATE("*",$D29,"*"),(INDIRECT("'"&amp;J$4&amp;"'!$B$4:$H$83")),7,FALSE),"")))</f>
        <v/>
      </c>
      <c r="K29" s="35" t="str">
        <f ca="1">IF($D29="","",(IF(COUNTIF((INDIRECT("'"&amp;K$4&amp;"'!$B$4:$B$83")),CONCATENATE("*",$D29,"*"))=1,VLOOKUP(CONCATENATE("*",$D29,"*"),(INDIRECT("'"&amp;K$4&amp;"'!$B$4:$H$83")),7,FALSE),"")))</f>
        <v/>
      </c>
      <c r="L29" s="35" t="str">
        <f ca="1">IF($D29="","",(IF(COUNTIF((INDIRECT("'"&amp;L$4&amp;"'!$B$4:$B$83")),CONCATENATE("*",$D29,"*"))=1,VLOOKUP(CONCATENATE("*",$D29,"*"),(INDIRECT("'"&amp;L$4&amp;"'!$B$4:$H$83")),7,FALSE),"")))</f>
        <v/>
      </c>
      <c r="M29" s="35" t="str">
        <f ca="1">IF($D29="","",(IF(COUNTIF((INDIRECT("'"&amp;M$4&amp;"'!$B$4:$B$83")),CONCATENATE("*",$D29,"*"))=1,VLOOKUP(CONCATENATE("*",$D29,"*"),(INDIRECT("'"&amp;M$4&amp;"'!$B$4:$H$83")),7,FALSE),"")))</f>
        <v/>
      </c>
      <c r="N29" s="32" t="str">
        <f>IF(O29&lt;&gt;"",MAX(F29:M29),"")</f>
        <v/>
      </c>
      <c r="O29" s="32"/>
      <c r="P29" s="32">
        <f ca="1">COUNTIF(F29:M29,"&gt;0")</f>
        <v>3</v>
      </c>
      <c r="Q29" s="37">
        <f t="array" aca="1" ref="Q29" ca="1">IF(COUNT(F29:N29)&gt;5,SUM(LARGE(F29:N29,{1,2,3,4,5})),SUM(F29:N29))</f>
        <v>85</v>
      </c>
    </row>
    <row r="30" spans="2:17" x14ac:dyDescent="0.35">
      <c r="B30" s="33">
        <f ca="1">IF(D30="","",RANK(Q30,$Q$5:$Q$91,0))</f>
        <v>26</v>
      </c>
      <c r="C30" s="32" cm="1">
        <f t="array" aca="1" ref="C30" ca="1">IF(E30="F",SUMPRODUCT(($E$5:$E$91=E30)*(Q30&lt;$Q$5:$Q$91))+1,"")</f>
        <v>2</v>
      </c>
      <c r="D30" s="30" t="s">
        <v>16</v>
      </c>
      <c r="E30" s="31" t="s">
        <v>49</v>
      </c>
      <c r="F30" s="35">
        <f ca="1">IF($D30="","",(IF(COUNTIF((INDIRECT("'"&amp;F$4&amp;"'!$B$4:$B$83")),CONCATENATE("*",$D30,"*"))=1,VLOOKUP(CONCATENATE("*",$D30,"*"),(INDIRECT("'"&amp;F$4&amp;"'!$B$4:$H$83")),7,FALSE),"")))</f>
        <v>31</v>
      </c>
      <c r="G30" s="35">
        <f ca="1">IF($D30="","",(IF(COUNTIF((INDIRECT("'"&amp;G$4&amp;"'!$B$4:$B$83")),CONCATENATE("*",$D30,"*"))=1,VLOOKUP(CONCATENATE("*",$D30,"*"),(INDIRECT("'"&amp;G$4&amp;"'!$B$4:$H$83")),7,FALSE),"")))</f>
        <v>17</v>
      </c>
      <c r="H30" s="35">
        <f ca="1">IF($D30="","",(IF(COUNTIF((INDIRECT("'"&amp;H$4&amp;"'!$B$4:$B$83")),CONCATENATE("*",$D30,"*"))=1,VLOOKUP(CONCATENATE("*",$D30,"*"),(INDIRECT("'"&amp;H$4&amp;"'!$B$4:$H$83")),7,FALSE),"")))</f>
        <v>14</v>
      </c>
      <c r="I30" s="35">
        <f ca="1">IF($D30="","",(IF(COUNTIF((INDIRECT("'"&amp;I$4&amp;"'!$B$4:$B$83")),CONCATENATE("*",$D30,"*"))=1,VLOOKUP(CONCATENATE("*",$D30,"*"),(INDIRECT("'"&amp;I$4&amp;"'!$B$4:$H$83")),7,FALSE),"")))</f>
        <v>18</v>
      </c>
      <c r="J30" s="35" t="str">
        <f ca="1">IF($D30="","",(IF(COUNTIF((INDIRECT("'"&amp;J$4&amp;"'!$B$4:$B$83")),CONCATENATE("*",$D30,"*"))=1,VLOOKUP(CONCATENATE("*",$D30,"*"),(INDIRECT("'"&amp;J$4&amp;"'!$B$4:$H$83")),7,FALSE),"")))</f>
        <v/>
      </c>
      <c r="K30" s="35" t="str">
        <f ca="1">IF($D30="","",(IF(COUNTIF((INDIRECT("'"&amp;K$4&amp;"'!$B$4:$B$83")),CONCATENATE("*",$D30,"*"))=1,VLOOKUP(CONCATENATE("*",$D30,"*"),(INDIRECT("'"&amp;K$4&amp;"'!$B$4:$H$83")),7,FALSE),"")))</f>
        <v/>
      </c>
      <c r="L30" s="35" t="str">
        <f ca="1">IF($D30="","",(IF(COUNTIF((INDIRECT("'"&amp;L$4&amp;"'!$B$4:$B$83")),CONCATENATE("*",$D30,"*"))=1,VLOOKUP(CONCATENATE("*",$D30,"*"),(INDIRECT("'"&amp;L$4&amp;"'!$B$4:$H$83")),7,FALSE),"")))</f>
        <v/>
      </c>
      <c r="M30" s="35" t="str">
        <f ca="1">IF($D30="","",(IF(COUNTIF((INDIRECT("'"&amp;M$4&amp;"'!$B$4:$B$83")),CONCATENATE("*",$D30,"*"))=1,VLOOKUP(CONCATENATE("*",$D30,"*"),(INDIRECT("'"&amp;M$4&amp;"'!$B$4:$H$83")),7,FALSE),"")))</f>
        <v/>
      </c>
      <c r="N30" s="31" t="str">
        <f>IF(O30&lt;&gt;"",MAX(F30:M30),"")</f>
        <v/>
      </c>
      <c r="O30" s="32"/>
      <c r="P30" s="32">
        <f ca="1">COUNTIF(F30:M30,"&gt;0")</f>
        <v>4</v>
      </c>
      <c r="Q30" s="37">
        <f t="array" aca="1" ref="Q30" ca="1">IF(COUNT(F30:N30)&gt;5,SUM(LARGE(F30:N30,{1,2,3,4,5})),SUM(F30:N30))</f>
        <v>80</v>
      </c>
    </row>
    <row r="31" spans="2:17" x14ac:dyDescent="0.35">
      <c r="B31" s="33">
        <f ca="1">IF(D31="","",RANK(Q31,$Q$5:$Q$91,0))</f>
        <v>27</v>
      </c>
      <c r="C31" s="32" t="str" cm="1">
        <f t="array" ref="C31">IF(E31="F",SUMPRODUCT(($E$5:$E$91=E31)*(Q31&lt;$Q$5:$Q$91))+1,"")</f>
        <v/>
      </c>
      <c r="D31" s="30" t="s">
        <v>76</v>
      </c>
      <c r="E31" s="31"/>
      <c r="F31" s="35" t="str">
        <f ca="1">IF($D31="","",(IF(COUNTIF((INDIRECT("'"&amp;F$4&amp;"'!$B$4:$B$83")),CONCATENATE("*",$D31,"*"))=1,VLOOKUP(CONCATENATE("*",$D31,"*"),(INDIRECT("'"&amp;F$4&amp;"'!$B$4:$H$83")),7,FALSE),"")))</f>
        <v/>
      </c>
      <c r="G31" s="35">
        <f ca="1">IF($D31="","",(IF(COUNTIF((INDIRECT("'"&amp;G$4&amp;"'!$B$4:$B$83")),CONCATENATE("*",$D31,"*"))=1,VLOOKUP(CONCATENATE("*",$D31,"*"),(INDIRECT("'"&amp;G$4&amp;"'!$B$4:$H$83")),7,FALSE),"")))</f>
        <v>43</v>
      </c>
      <c r="H31" s="35" t="str">
        <f ca="1">IF($D31="","",(IF(COUNTIF((INDIRECT("'"&amp;H$4&amp;"'!$B$4:$B$83")),CONCATENATE("*",$D31,"*"))=1,VLOOKUP(CONCATENATE("*",$D31,"*"),(INDIRECT("'"&amp;H$4&amp;"'!$B$4:$H$83")),7,FALSE),"")))</f>
        <v/>
      </c>
      <c r="I31" s="35">
        <f ca="1">IF($D31="","",(IF(COUNTIF((INDIRECT("'"&amp;I$4&amp;"'!$B$4:$B$83")),CONCATENATE("*",$D31,"*"))=1,VLOOKUP(CONCATENATE("*",$D31,"*"),(INDIRECT("'"&amp;I$4&amp;"'!$B$4:$H$83")),7,FALSE),"")))</f>
        <v>36</v>
      </c>
      <c r="J31" s="35" t="str">
        <f ca="1">IF($D31="","",(IF(COUNTIF((INDIRECT("'"&amp;J$4&amp;"'!$B$4:$B$83")),CONCATENATE("*",$D31,"*"))=1,VLOOKUP(CONCATENATE("*",$D31,"*"),(INDIRECT("'"&amp;J$4&amp;"'!$B$4:$H$83")),7,FALSE),"")))</f>
        <v/>
      </c>
      <c r="K31" s="35" t="str">
        <f ca="1">IF($D31="","",(IF(COUNTIF((INDIRECT("'"&amp;K$4&amp;"'!$B$4:$B$83")),CONCATENATE("*",$D31,"*"))=1,VLOOKUP(CONCATENATE("*",$D31,"*"),(INDIRECT("'"&amp;K$4&amp;"'!$B$4:$H$83")),7,FALSE),"")))</f>
        <v/>
      </c>
      <c r="L31" s="35" t="str">
        <f ca="1">IF($D31="","",(IF(COUNTIF((INDIRECT("'"&amp;L$4&amp;"'!$B$4:$B$83")),CONCATENATE("*",$D31,"*"))=1,VLOOKUP(CONCATENATE("*",$D31,"*"),(INDIRECT("'"&amp;L$4&amp;"'!$B$4:$H$83")),7,FALSE),"")))</f>
        <v/>
      </c>
      <c r="M31" s="35" t="str">
        <f ca="1">IF($D31="","",(IF(COUNTIF((INDIRECT("'"&amp;M$4&amp;"'!$B$4:$B$83")),CONCATENATE("*",$D31,"*"))=1,VLOOKUP(CONCATENATE("*",$D31,"*"),(INDIRECT("'"&amp;M$4&amp;"'!$B$4:$H$83")),7,FALSE),"")))</f>
        <v/>
      </c>
      <c r="N31" s="31" t="str">
        <f>IF(O31&lt;&gt;"",MAX(F31:M31),"")</f>
        <v/>
      </c>
      <c r="O31" s="32"/>
      <c r="P31" s="32">
        <f ca="1">COUNTIF(F31:M31,"&gt;0")</f>
        <v>2</v>
      </c>
      <c r="Q31" s="37">
        <f t="array" aca="1" ref="Q31" ca="1">IF(COUNT(F31:N31)&gt;5,SUM(LARGE(F31:N31,{1,2,3,4,5})),SUM(F31:N31))</f>
        <v>79</v>
      </c>
    </row>
    <row r="32" spans="2:17" x14ac:dyDescent="0.35">
      <c r="B32" s="33">
        <f ca="1">IF(D32="","",RANK(Q32,$Q$5:$Q$91,0))</f>
        <v>28</v>
      </c>
      <c r="C32" s="32" cm="1">
        <f t="array" aca="1" ref="C32" ca="1">IF(E32="F",SUMPRODUCT(($E$5:$E$91=E32)*(Q32&lt;$Q$5:$Q$91))+1,"")</f>
        <v>3</v>
      </c>
      <c r="D32" s="40" t="s">
        <v>30</v>
      </c>
      <c r="E32" s="31" t="s">
        <v>49</v>
      </c>
      <c r="F32" s="35">
        <f ca="1">IF($D32="","",(IF(COUNTIF((INDIRECT("'"&amp;F$4&amp;"'!$B$4:$B$83")),CONCATENATE("*",$D32,"*"))=1,VLOOKUP(CONCATENATE("*",$D32,"*"),(INDIRECT("'"&amp;F$4&amp;"'!$B$4:$H$83")),7,FALSE),"")))</f>
        <v>23</v>
      </c>
      <c r="G32" s="35">
        <f ca="1">IF($D32="","",(IF(COUNTIF((INDIRECT("'"&amp;G$4&amp;"'!$B$4:$B$83")),CONCATENATE("*",$D32,"*"))=1,VLOOKUP(CONCATENATE("*",$D32,"*"),(INDIRECT("'"&amp;G$4&amp;"'!$B$4:$H$83")),7,FALSE),"")))</f>
        <v>18</v>
      </c>
      <c r="H32" s="35">
        <f ca="1">IF($D32="","",(IF(COUNTIF((INDIRECT("'"&amp;H$4&amp;"'!$B$4:$B$83")),CONCATENATE("*",$D32,"*"))=1,VLOOKUP(CONCATENATE("*",$D32,"*"),(INDIRECT("'"&amp;H$4&amp;"'!$B$4:$H$83")),7,FALSE),"")))</f>
        <v>16</v>
      </c>
      <c r="I32" s="35">
        <f ca="1">IF($D32="","",(IF(COUNTIF((INDIRECT("'"&amp;I$4&amp;"'!$B$4:$B$83")),CONCATENATE("*",$D32,"*"))=1,VLOOKUP(CONCATENATE("*",$D32,"*"),(INDIRECT("'"&amp;I$4&amp;"'!$B$4:$H$83")),7,FALSE),"")))</f>
        <v>13</v>
      </c>
      <c r="J32" s="35" t="str">
        <f ca="1">IF($D32="","",(IF(COUNTIF((INDIRECT("'"&amp;J$4&amp;"'!$B$4:$B$83")),CONCATENATE("*",$D32,"*"))=1,VLOOKUP(CONCATENATE("*",$D32,"*"),(INDIRECT("'"&amp;J$4&amp;"'!$B$4:$H$83")),7,FALSE),"")))</f>
        <v/>
      </c>
      <c r="K32" s="35" t="str">
        <f ca="1">IF($D32="","",(IF(COUNTIF((INDIRECT("'"&amp;K$4&amp;"'!$B$4:$B$83")),CONCATENATE("*",$D32,"*"))=1,VLOOKUP(CONCATENATE("*",$D32,"*"),(INDIRECT("'"&amp;K$4&amp;"'!$B$4:$H$83")),7,FALSE),"")))</f>
        <v/>
      </c>
      <c r="L32" s="35" t="str">
        <f ca="1">IF($D32="","",(IF(COUNTIF((INDIRECT("'"&amp;L$4&amp;"'!$B$4:$B$83")),CONCATENATE("*",$D32,"*"))=1,VLOOKUP(CONCATENATE("*",$D32,"*"),(INDIRECT("'"&amp;L$4&amp;"'!$B$4:$H$83")),7,FALSE),"")))</f>
        <v/>
      </c>
      <c r="M32" s="35" t="str">
        <f ca="1">IF($D32="","",(IF(COUNTIF((INDIRECT("'"&amp;M$4&amp;"'!$B$4:$B$83")),CONCATENATE("*",$D32,"*"))=1,VLOOKUP(CONCATENATE("*",$D32,"*"),(INDIRECT("'"&amp;M$4&amp;"'!$B$4:$H$83")),7,FALSE),"")))</f>
        <v/>
      </c>
      <c r="N32" s="31" t="str">
        <f>IF(O32&lt;&gt;"",MAX(F32:M32),"")</f>
        <v/>
      </c>
      <c r="O32" s="32"/>
      <c r="P32" s="32">
        <f ca="1">COUNTIF(F32:M32,"&gt;0")</f>
        <v>4</v>
      </c>
      <c r="Q32" s="37">
        <f t="array" aca="1" ref="Q32" ca="1">IF(COUNT(F32:N32)&gt;5,SUM(LARGE(F32:N32,{1,2,3,4,5})),SUM(F32:N32))</f>
        <v>70</v>
      </c>
    </row>
    <row r="33" spans="2:17" x14ac:dyDescent="0.35">
      <c r="B33" s="33">
        <f ca="1">IF(D33="","",RANK(Q33,$Q$5:$Q$91,0))</f>
        <v>29</v>
      </c>
      <c r="C33" s="32" cm="1">
        <f t="array" aca="1" ref="C33" ca="1">IF(E33="F",SUMPRODUCT(($E$5:$E$91=E33)*(Q33&lt;$Q$5:$Q$91))+1,"")</f>
        <v>4</v>
      </c>
      <c r="D33" s="40" t="s">
        <v>73</v>
      </c>
      <c r="E33" s="31" t="s">
        <v>49</v>
      </c>
      <c r="F33" s="35">
        <f ca="1">IF($D33="","",(IF(COUNTIF((INDIRECT("'"&amp;F$4&amp;"'!$B$4:$B$83")),CONCATENATE("*",$D33,"*"))=1,VLOOKUP(CONCATENATE("*",$D33,"*"),(INDIRECT("'"&amp;F$4&amp;"'!$B$4:$H$83")),7,FALSE),"")))</f>
        <v>14</v>
      </c>
      <c r="G33" s="35">
        <f ca="1">IF($D33="","",(IF(COUNTIF((INDIRECT("'"&amp;G$4&amp;"'!$B$4:$B$83")),CONCATENATE("*",$D33,"*"))=1,VLOOKUP(CONCATENATE("*",$D33,"*"),(INDIRECT("'"&amp;G$4&amp;"'!$B$4:$H$83")),7,FALSE),"")))</f>
        <v>30</v>
      </c>
      <c r="H33" s="35">
        <f ca="1">IF($D33="","",(IF(COUNTIF((INDIRECT("'"&amp;H$4&amp;"'!$B$4:$B$83")),CONCATENATE("*",$D33,"*"))=1,VLOOKUP(CONCATENATE("*",$D33,"*"),(INDIRECT("'"&amp;H$4&amp;"'!$B$4:$H$83")),7,FALSE),"")))</f>
        <v>19</v>
      </c>
      <c r="I33" s="35" t="str">
        <f ca="1">IF($D33="","",(IF(COUNTIF((INDIRECT("'"&amp;I$4&amp;"'!$B$4:$B$83")),CONCATENATE("*",$D33,"*"))=1,VLOOKUP(CONCATENATE("*",$D33,"*"),(INDIRECT("'"&amp;I$4&amp;"'!$B$4:$H$83")),7,FALSE),"")))</f>
        <v/>
      </c>
      <c r="J33" s="35" t="str">
        <f ca="1">IF($D33="","",(IF(COUNTIF((INDIRECT("'"&amp;J$4&amp;"'!$B$4:$B$83")),CONCATENATE("*",$D33,"*"))=1,VLOOKUP(CONCATENATE("*",$D33,"*"),(INDIRECT("'"&amp;J$4&amp;"'!$B$4:$H$83")),7,FALSE),"")))</f>
        <v/>
      </c>
      <c r="K33" s="35" t="str">
        <f ca="1">IF($D33="","",(IF(COUNTIF((INDIRECT("'"&amp;K$4&amp;"'!$B$4:$B$83")),CONCATENATE("*",$D33,"*"))=1,VLOOKUP(CONCATENATE("*",$D33,"*"),(INDIRECT("'"&amp;K$4&amp;"'!$B$4:$H$83")),7,FALSE),"")))</f>
        <v/>
      </c>
      <c r="L33" s="35" t="str">
        <f ca="1">IF($D33="","",(IF(COUNTIF((INDIRECT("'"&amp;L$4&amp;"'!$B$4:$B$83")),CONCATENATE("*",$D33,"*"))=1,VLOOKUP(CONCATENATE("*",$D33,"*"),(INDIRECT("'"&amp;L$4&amp;"'!$B$4:$H$83")),7,FALSE),"")))</f>
        <v/>
      </c>
      <c r="M33" s="35" t="str">
        <f ca="1">IF($D33="","",(IF(COUNTIF((INDIRECT("'"&amp;M$4&amp;"'!$B$4:$B$83")),CONCATENATE("*",$D33,"*"))=1,VLOOKUP(CONCATENATE("*",$D33,"*"),(INDIRECT("'"&amp;M$4&amp;"'!$B$4:$H$83")),7,FALSE),"")))</f>
        <v/>
      </c>
      <c r="N33" s="31" t="str">
        <f>IF(O33&lt;&gt;"",MAX(F33:M33),"")</f>
        <v/>
      </c>
      <c r="O33" s="32"/>
      <c r="P33" s="32">
        <f ca="1">COUNTIF(F33:M33,"&gt;0")</f>
        <v>3</v>
      </c>
      <c r="Q33" s="37">
        <f t="array" aca="1" ref="Q33" ca="1">IF(COUNT(F33:N33)&gt;5,SUM(LARGE(F33:N33,{1,2,3,4,5})),SUM(F33:N33))</f>
        <v>63</v>
      </c>
    </row>
    <row r="34" spans="2:17" x14ac:dyDescent="0.35">
      <c r="B34" s="33">
        <f ca="1">IF(D34="","",RANK(Q34,$Q$5:$Q$91,0))</f>
        <v>30</v>
      </c>
      <c r="C34" s="32" cm="1">
        <f t="array" aca="1" ref="C34" ca="1">IF(E34="F",SUMPRODUCT(($E$5:$E$91=E34)*(Q34&lt;$Q$5:$Q$91))+1,"")</f>
        <v>5</v>
      </c>
      <c r="D34" s="40" t="s">
        <v>67</v>
      </c>
      <c r="E34" s="41" t="s">
        <v>49</v>
      </c>
      <c r="F34" s="35">
        <f ca="1">IF($D34="","",(IF(COUNTIF((INDIRECT("'"&amp;F$4&amp;"'!$B$4:$B$83")),CONCATENATE("*",$D34,"*"))=1,VLOOKUP(CONCATENATE("*",$D34,"*"),(INDIRECT("'"&amp;F$4&amp;"'!$B$4:$H$83")),7,FALSE),"")))</f>
        <v>25</v>
      </c>
      <c r="G34" s="35">
        <f ca="1">IF($D34="","",(IF(COUNTIF((INDIRECT("'"&amp;G$4&amp;"'!$B$4:$B$83")),CONCATENATE("*",$D34,"*"))=1,VLOOKUP(CONCATENATE("*",$D34,"*"),(INDIRECT("'"&amp;G$4&amp;"'!$B$4:$H$83")),7,FALSE),"")))</f>
        <v>13</v>
      </c>
      <c r="H34" s="35">
        <f ca="1">IF($D34="","",(IF(COUNTIF((INDIRECT("'"&amp;H$4&amp;"'!$B$4:$B$83")),CONCATENATE("*",$D34,"*"))=1,VLOOKUP(CONCATENATE("*",$D34,"*"),(INDIRECT("'"&amp;H$4&amp;"'!$B$4:$H$83")),7,FALSE),"")))</f>
        <v>21</v>
      </c>
      <c r="I34" s="35" t="str">
        <f ca="1">IF($D34="","",(IF(COUNTIF((INDIRECT("'"&amp;I$4&amp;"'!$B$4:$B$83")),CONCATENATE("*",$D34,"*"))=1,VLOOKUP(CONCATENATE("*",$D34,"*"),(INDIRECT("'"&amp;I$4&amp;"'!$B$4:$H$83")),7,FALSE),"")))</f>
        <v/>
      </c>
      <c r="J34" s="35" t="str">
        <f ca="1">IF($D34="","",(IF(COUNTIF((INDIRECT("'"&amp;J$4&amp;"'!$B$4:$B$83")),CONCATENATE("*",$D34,"*"))=1,VLOOKUP(CONCATENATE("*",$D34,"*"),(INDIRECT("'"&amp;J$4&amp;"'!$B$4:$H$83")),7,FALSE),"")))</f>
        <v/>
      </c>
      <c r="K34" s="35" t="str">
        <f ca="1">IF($D34="","",(IF(COUNTIF((INDIRECT("'"&amp;K$4&amp;"'!$B$4:$B$83")),CONCATENATE("*",$D34,"*"))=1,VLOOKUP(CONCATENATE("*",$D34,"*"),(INDIRECT("'"&amp;K$4&amp;"'!$B$4:$H$83")),7,FALSE),"")))</f>
        <v/>
      </c>
      <c r="L34" s="35" t="str">
        <f ca="1">IF($D34="","",(IF(COUNTIF((INDIRECT("'"&amp;L$4&amp;"'!$B$4:$B$83")),CONCATENATE("*",$D34,"*"))=1,VLOOKUP(CONCATENATE("*",$D34,"*"),(INDIRECT("'"&amp;L$4&amp;"'!$B$4:$H$83")),7,FALSE),"")))</f>
        <v/>
      </c>
      <c r="M34" s="35" t="str">
        <f ca="1">IF($D34="","",(IF(COUNTIF((INDIRECT("'"&amp;M$4&amp;"'!$B$4:$B$83")),CONCATENATE("*",$D34,"*"))=1,VLOOKUP(CONCATENATE("*",$D34,"*"),(INDIRECT("'"&amp;M$4&amp;"'!$B$4:$H$83")),7,FALSE),"")))</f>
        <v/>
      </c>
      <c r="N34" s="31" t="str">
        <f>IF(O34&lt;&gt;"",MAX(F34:M34),"")</f>
        <v/>
      </c>
      <c r="O34" s="32"/>
      <c r="P34" s="32">
        <f ca="1">COUNTIF(F34:M34,"&gt;0")</f>
        <v>3</v>
      </c>
      <c r="Q34" s="37">
        <f t="array" aca="1" ref="Q34" ca="1">IF(COUNT(F34:N34)&gt;5,SUM(LARGE(F34:N34,{1,2,3,4,5})),SUM(F34:N34))</f>
        <v>59</v>
      </c>
    </row>
    <row r="35" spans="2:17" x14ac:dyDescent="0.35">
      <c r="B35" s="33">
        <f ca="1">IF(D35="","",RANK(Q35,$Q$5:$Q$91,0))</f>
        <v>31</v>
      </c>
      <c r="C35" s="32" cm="1">
        <f t="array" aca="1" ref="C35" ca="1">IF(E35="F",SUMPRODUCT(($E$5:$E$91=E35)*(Q35&lt;$Q$5:$Q$91))+1,"")</f>
        <v>6</v>
      </c>
      <c r="D35" s="40" t="s">
        <v>20</v>
      </c>
      <c r="E35" s="31" t="s">
        <v>49</v>
      </c>
      <c r="F35" s="35">
        <f ca="1">IF($D35="","",(IF(COUNTIF((INDIRECT("'"&amp;F$4&amp;"'!$B$4:$B$83")),CONCATENATE("*",$D35,"*"))=1,VLOOKUP(CONCATENATE("*",$D35,"*"),(INDIRECT("'"&amp;F$4&amp;"'!$B$4:$H$83")),7,FALSE),"")))</f>
        <v>18</v>
      </c>
      <c r="G35" s="35">
        <f ca="1">IF($D35="","",(IF(COUNTIF((INDIRECT("'"&amp;G$4&amp;"'!$B$4:$B$83")),CONCATENATE("*",$D35,"*"))=1,VLOOKUP(CONCATENATE("*",$D35,"*"),(INDIRECT("'"&amp;G$4&amp;"'!$B$4:$H$83")),7,FALSE),"")))</f>
        <v>11</v>
      </c>
      <c r="H35" s="35">
        <f ca="1">IF($D35="","",(IF(COUNTIF((INDIRECT("'"&amp;H$4&amp;"'!$B$4:$B$83")),CONCATENATE("*",$D35,"*"))=1,VLOOKUP(CONCATENATE("*",$D35,"*"),(INDIRECT("'"&amp;H$4&amp;"'!$B$4:$H$83")),7,FALSE),"")))</f>
        <v>12</v>
      </c>
      <c r="I35" s="35">
        <f ca="1">IF($D35="","",(IF(COUNTIF((INDIRECT("'"&amp;I$4&amp;"'!$B$4:$B$83")),CONCATENATE("*",$D35,"*"))=1,VLOOKUP(CONCATENATE("*",$D35,"*"),(INDIRECT("'"&amp;I$4&amp;"'!$B$4:$H$83")),7,FALSE),"")))</f>
        <v>17</v>
      </c>
      <c r="J35" s="35" t="str">
        <f ca="1">IF($D35="","",(IF(COUNTIF((INDIRECT("'"&amp;J$4&amp;"'!$B$4:$B$83")),CONCATENATE("*",$D35,"*"))=1,VLOOKUP(CONCATENATE("*",$D35,"*"),(INDIRECT("'"&amp;J$4&amp;"'!$B$4:$H$83")),7,FALSE),"")))</f>
        <v/>
      </c>
      <c r="K35" s="35" t="str">
        <f ca="1">IF($D35="","",(IF(COUNTIF((INDIRECT("'"&amp;K$4&amp;"'!$B$4:$B$83")),CONCATENATE("*",$D35,"*"))=1,VLOOKUP(CONCATENATE("*",$D35,"*"),(INDIRECT("'"&amp;K$4&amp;"'!$B$4:$H$83")),7,FALSE),"")))</f>
        <v/>
      </c>
      <c r="L35" s="35" t="str">
        <f ca="1">IF($D35="","",(IF(COUNTIF((INDIRECT("'"&amp;L$4&amp;"'!$B$4:$B$83")),CONCATENATE("*",$D35,"*"))=1,VLOOKUP(CONCATENATE("*",$D35,"*"),(INDIRECT("'"&amp;L$4&amp;"'!$B$4:$H$83")),7,FALSE),"")))</f>
        <v/>
      </c>
      <c r="M35" s="35" t="str">
        <f ca="1">IF($D35="","",(IF(COUNTIF((INDIRECT("'"&amp;M$4&amp;"'!$B$4:$B$83")),CONCATENATE("*",$D35,"*"))=1,VLOOKUP(CONCATENATE("*",$D35,"*"),(INDIRECT("'"&amp;M$4&amp;"'!$B$4:$H$83")),7,FALSE),"")))</f>
        <v/>
      </c>
      <c r="N35" s="31" t="str">
        <f>IF(O35&lt;&gt;"",MAX(F35:M35),"")</f>
        <v/>
      </c>
      <c r="O35" s="32"/>
      <c r="P35" s="32">
        <f ca="1">COUNTIF(F35:M35,"&gt;0")</f>
        <v>4</v>
      </c>
      <c r="Q35" s="37">
        <f t="array" aca="1" ref="Q35" ca="1">IF(COUNT(F35:N35)&gt;5,SUM(LARGE(F35:N35,{1,2,3,4,5})),SUM(F35:N35))</f>
        <v>58</v>
      </c>
    </row>
    <row r="36" spans="2:17" x14ac:dyDescent="0.35">
      <c r="B36" s="33">
        <f ca="1">IF(D36="","",RANK(Q36,$Q$5:$Q$91,0))</f>
        <v>32</v>
      </c>
      <c r="C36" s="32" cm="1">
        <f t="array" aca="1" ref="C36" ca="1">IF(E36="F",SUMPRODUCT(($E$5:$E$91=E36)*(Q36&lt;$Q$5:$Q$91))+1,"")</f>
        <v>7</v>
      </c>
      <c r="D36" s="40" t="s">
        <v>89</v>
      </c>
      <c r="E36" s="31" t="s">
        <v>49</v>
      </c>
      <c r="F36" s="35" t="str">
        <f ca="1">IF($D36="","",(IF(COUNTIF((INDIRECT("'"&amp;F$4&amp;"'!$B$4:$B$83")),CONCATENATE("*",$D36,"*"))=1,VLOOKUP(CONCATENATE("*",$D36,"*"),(INDIRECT("'"&amp;F$4&amp;"'!$B$4:$H$83")),7,FALSE),"")))</f>
        <v/>
      </c>
      <c r="G36" s="35">
        <f ca="1">IF($D36="","",(IF(COUNTIF((INDIRECT("'"&amp;G$4&amp;"'!$B$4:$B$83")),CONCATENATE("*",$D36,"*"))=1,VLOOKUP(CONCATENATE("*",$D36,"*"),(INDIRECT("'"&amp;G$4&amp;"'!$B$4:$H$83")),7,FALSE),"")))</f>
        <v>21</v>
      </c>
      <c r="H36" s="35">
        <f ca="1">IF($D36="","",(IF(COUNTIF((INDIRECT("'"&amp;H$4&amp;"'!$B$4:$B$83")),CONCATENATE("*",$D36,"*"))=1,VLOOKUP(CONCATENATE("*",$D36,"*"),(INDIRECT("'"&amp;H$4&amp;"'!$B$4:$H$83")),7,FALSE),"")))</f>
        <v>36</v>
      </c>
      <c r="I36" s="35" t="str">
        <f ca="1">IF($D36="","",(IF(COUNTIF((INDIRECT("'"&amp;I$4&amp;"'!$B$4:$B$83")),CONCATENATE("*",$D36,"*"))=1,VLOOKUP(CONCATENATE("*",$D36,"*"),(INDIRECT("'"&amp;I$4&amp;"'!$B$4:$H$83")),7,FALSE),"")))</f>
        <v/>
      </c>
      <c r="J36" s="35" t="str">
        <f ca="1">IF($D36="","",(IF(COUNTIF((INDIRECT("'"&amp;J$4&amp;"'!$B$4:$B$83")),CONCATENATE("*",$D36,"*"))=1,VLOOKUP(CONCATENATE("*",$D36,"*"),(INDIRECT("'"&amp;J$4&amp;"'!$B$4:$H$83")),7,FALSE),"")))</f>
        <v/>
      </c>
      <c r="K36" s="35" t="str">
        <f ca="1">IF($D36="","",(IF(COUNTIF((INDIRECT("'"&amp;K$4&amp;"'!$B$4:$B$83")),CONCATENATE("*",$D36,"*"))=1,VLOOKUP(CONCATENATE("*",$D36,"*"),(INDIRECT("'"&amp;K$4&amp;"'!$B$4:$H$83")),7,FALSE),"")))</f>
        <v/>
      </c>
      <c r="L36" s="35" t="str">
        <f ca="1">IF($D36="","",(IF(COUNTIF((INDIRECT("'"&amp;L$4&amp;"'!$B$4:$B$83")),CONCATENATE("*",$D36,"*"))=1,VLOOKUP(CONCATENATE("*",$D36,"*"),(INDIRECT("'"&amp;L$4&amp;"'!$B$4:$H$83")),7,FALSE),"")))</f>
        <v/>
      </c>
      <c r="M36" s="35" t="str">
        <f ca="1">IF($D36="","",(IF(COUNTIF((INDIRECT("'"&amp;M$4&amp;"'!$B$4:$B$83")),CONCATENATE("*",$D36,"*"))=1,VLOOKUP(CONCATENATE("*",$D36,"*"),(INDIRECT("'"&amp;M$4&amp;"'!$B$4:$H$83")),7,FALSE),"")))</f>
        <v/>
      </c>
      <c r="N36" s="31" t="str">
        <f>IF(O36&lt;&gt;"",MAX(F36:M36),"")</f>
        <v/>
      </c>
      <c r="O36" s="32"/>
      <c r="P36" s="32">
        <f ca="1">COUNTIF(F36:M36,"&gt;0")</f>
        <v>2</v>
      </c>
      <c r="Q36" s="37">
        <f t="array" aca="1" ref="Q36" ca="1">IF(COUNT(F36:N36)&gt;5,SUM(LARGE(F36:N36,{1,2,3,4,5})),SUM(F36:N36))</f>
        <v>57</v>
      </c>
    </row>
    <row r="37" spans="2:17" x14ac:dyDescent="0.35">
      <c r="B37" s="33">
        <f ca="1">IF(D37="","",RANK(Q37,$Q$5:$Q$91,0))</f>
        <v>33</v>
      </c>
      <c r="C37" s="32" cm="1">
        <f t="array" aca="1" ref="C37" ca="1">IF(E37="F",SUMPRODUCT(($E$5:$E$91=E37)*(Q37&lt;$Q$5:$Q$91))+1,"")</f>
        <v>8</v>
      </c>
      <c r="D37" s="30" t="s">
        <v>15</v>
      </c>
      <c r="E37" s="31" t="s">
        <v>49</v>
      </c>
      <c r="F37" s="35">
        <f ca="1">IF($D37="","",(IF(COUNTIF((INDIRECT("'"&amp;F$4&amp;"'!$B$4:$B$83")),CONCATENATE("*",$D37,"*"))=1,VLOOKUP(CONCATENATE("*",$D37,"*"),(INDIRECT("'"&amp;F$4&amp;"'!$B$4:$H$83")),7,FALSE),"")))</f>
        <v>26</v>
      </c>
      <c r="G37" s="35">
        <f ca="1">IF($D37="","",(IF(COUNTIF((INDIRECT("'"&amp;G$4&amp;"'!$B$4:$B$83")),CONCATENATE("*",$D37,"*"))=1,VLOOKUP(CONCATENATE("*",$D37,"*"),(INDIRECT("'"&amp;G$4&amp;"'!$B$4:$H$83")),7,FALSE),"")))</f>
        <v>16</v>
      </c>
      <c r="H37" s="35" t="str">
        <f ca="1">IF($D37="","",(IF(COUNTIF((INDIRECT("'"&amp;H$4&amp;"'!$B$4:$B$83")),CONCATENATE("*",$D37,"*"))=1,VLOOKUP(CONCATENATE("*",$D37,"*"),(INDIRECT("'"&amp;H$4&amp;"'!$B$4:$H$83")),7,FALSE),"")))</f>
        <v/>
      </c>
      <c r="I37" s="35">
        <f ca="1">IF($D37="","",(IF(COUNTIF((INDIRECT("'"&amp;I$4&amp;"'!$B$4:$B$83")),CONCATENATE("*",$D37,"*"))=1,VLOOKUP(CONCATENATE("*",$D37,"*"),(INDIRECT("'"&amp;I$4&amp;"'!$B$4:$H$83")),7,FALSE),"")))</f>
        <v>12</v>
      </c>
      <c r="J37" s="35" t="str">
        <f ca="1">IF($D37="","",(IF(COUNTIF((INDIRECT("'"&amp;J$4&amp;"'!$B$4:$B$83")),CONCATENATE("*",$D37,"*"))=1,VLOOKUP(CONCATENATE("*",$D37,"*"),(INDIRECT("'"&amp;J$4&amp;"'!$B$4:$H$83")),7,FALSE),"")))</f>
        <v/>
      </c>
      <c r="K37" s="35" t="str">
        <f ca="1">IF($D37="","",(IF(COUNTIF((INDIRECT("'"&amp;K$4&amp;"'!$B$4:$B$83")),CONCATENATE("*",$D37,"*"))=1,VLOOKUP(CONCATENATE("*",$D37,"*"),(INDIRECT("'"&amp;K$4&amp;"'!$B$4:$H$83")),7,FALSE),"")))</f>
        <v/>
      </c>
      <c r="L37" s="35" t="str">
        <f ca="1">IF($D37="","",(IF(COUNTIF((INDIRECT("'"&amp;L$4&amp;"'!$B$4:$B$83")),CONCATENATE("*",$D37,"*"))=1,VLOOKUP(CONCATENATE("*",$D37,"*"),(INDIRECT("'"&amp;L$4&amp;"'!$B$4:$H$83")),7,FALSE),"")))</f>
        <v/>
      </c>
      <c r="M37" s="35" t="str">
        <f ca="1">IF($D37="","",(IF(COUNTIF((INDIRECT("'"&amp;M$4&amp;"'!$B$4:$B$83")),CONCATENATE("*",$D37,"*"))=1,VLOOKUP(CONCATENATE("*",$D37,"*"),(INDIRECT("'"&amp;M$4&amp;"'!$B$4:$H$83")),7,FALSE),"")))</f>
        <v/>
      </c>
      <c r="N37" s="31" t="str">
        <f>IF(O37&lt;&gt;"",MAX(F37:M37),"")</f>
        <v/>
      </c>
      <c r="O37" s="32"/>
      <c r="P37" s="32">
        <f ca="1">COUNTIF(F37:M37,"&gt;0")</f>
        <v>3</v>
      </c>
      <c r="Q37" s="37">
        <f t="array" aca="1" ref="Q37" ca="1">IF(COUNT(F37:N37)&gt;5,SUM(LARGE(F37:N37,{1,2,3,4,5})),SUM(F37:N37))</f>
        <v>54</v>
      </c>
    </row>
    <row r="38" spans="2:17" x14ac:dyDescent="0.35">
      <c r="B38" s="33">
        <f ca="1">IF(D38="","",RANK(Q38,$Q$5:$Q$91,0))</f>
        <v>33</v>
      </c>
      <c r="C38" s="32" t="str" cm="1">
        <f t="array" ref="C38">IF(E38="F",SUMPRODUCT(($E$5:$E$91=E38)*(Q38&lt;$Q$5:$Q$91))+1,"")</f>
        <v/>
      </c>
      <c r="D38" s="30" t="s">
        <v>85</v>
      </c>
      <c r="E38" s="31"/>
      <c r="F38" s="35" t="str">
        <f ca="1">IF($D38="","",(IF(COUNTIF((INDIRECT("'"&amp;F$4&amp;"'!$B$4:$B$83")),CONCATENATE("*",$D38,"*"))=1,VLOOKUP(CONCATENATE("*",$D38,"*"),(INDIRECT("'"&amp;F$4&amp;"'!$B$4:$H$83")),7,FALSE),"")))</f>
        <v/>
      </c>
      <c r="G38" s="35">
        <f ca="1">IF($D38="","",(IF(COUNTIF((INDIRECT("'"&amp;G$4&amp;"'!$B$4:$B$83")),CONCATENATE("*",$D38,"*"))=1,VLOOKUP(CONCATENATE("*",$D38,"*"),(INDIRECT("'"&amp;G$4&amp;"'!$B$4:$H$83")),7,FALSE),"")))</f>
        <v>25</v>
      </c>
      <c r="H38" s="35" t="str">
        <f ca="1">IF($D38="","",(IF(COUNTIF((INDIRECT("'"&amp;H$4&amp;"'!$B$4:$B$83")),CONCATENATE("*",$D38,"*"))=1,VLOOKUP(CONCATENATE("*",$D38,"*"),(INDIRECT("'"&amp;H$4&amp;"'!$B$4:$H$83")),7,FALSE),"")))</f>
        <v/>
      </c>
      <c r="I38" s="35">
        <f ca="1">IF($D38="","",(IF(COUNTIF((INDIRECT("'"&amp;I$4&amp;"'!$B$4:$B$83")),CONCATENATE("*",$D38,"*"))=1,VLOOKUP(CONCATENATE("*",$D38,"*"),(INDIRECT("'"&amp;I$4&amp;"'!$B$4:$H$83")),7,FALSE),"")))</f>
        <v>29</v>
      </c>
      <c r="J38" s="35" t="str">
        <f ca="1">IF($D38="","",(IF(COUNTIF((INDIRECT("'"&amp;J$4&amp;"'!$B$4:$B$83")),CONCATENATE("*",$D38,"*"))=1,VLOOKUP(CONCATENATE("*",$D38,"*"),(INDIRECT("'"&amp;J$4&amp;"'!$B$4:$H$83")),7,FALSE),"")))</f>
        <v/>
      </c>
      <c r="K38" s="35" t="str">
        <f ca="1">IF($D38="","",(IF(COUNTIF((INDIRECT("'"&amp;K$4&amp;"'!$B$4:$B$83")),CONCATENATE("*",$D38,"*"))=1,VLOOKUP(CONCATENATE("*",$D38,"*"),(INDIRECT("'"&amp;K$4&amp;"'!$B$4:$H$83")),7,FALSE),"")))</f>
        <v/>
      </c>
      <c r="L38" s="35" t="str">
        <f ca="1">IF($D38="","",(IF(COUNTIF((INDIRECT("'"&amp;L$4&amp;"'!$B$4:$B$83")),CONCATENATE("*",$D38,"*"))=1,VLOOKUP(CONCATENATE("*",$D38,"*"),(INDIRECT("'"&amp;L$4&amp;"'!$B$4:$H$83")),7,FALSE),"")))</f>
        <v/>
      </c>
      <c r="M38" s="35" t="str">
        <f ca="1">IF($D38="","",(IF(COUNTIF((INDIRECT("'"&amp;M$4&amp;"'!$B$4:$B$83")),CONCATENATE("*",$D38,"*"))=1,VLOOKUP(CONCATENATE("*",$D38,"*"),(INDIRECT("'"&amp;M$4&amp;"'!$B$4:$H$83")),7,FALSE),"")))</f>
        <v/>
      </c>
      <c r="N38" s="31" t="str">
        <f>IF(O38&lt;&gt;"",MAX(F38:M38),"")</f>
        <v/>
      </c>
      <c r="O38" s="32"/>
      <c r="P38" s="32">
        <f ca="1">COUNTIF(F38:M38,"&gt;0")</f>
        <v>2</v>
      </c>
      <c r="Q38" s="37">
        <f t="array" aca="1" ref="Q38" ca="1">IF(COUNT(F38:N38)&gt;5,SUM(LARGE(F38:N38,{1,2,3,4,5})),SUM(F38:N38))</f>
        <v>54</v>
      </c>
    </row>
    <row r="39" spans="2:17" x14ac:dyDescent="0.35">
      <c r="B39" s="33">
        <f ca="1">IF(D39="","",RANK(Q39,$Q$5:$Q$91,0))</f>
        <v>35</v>
      </c>
      <c r="C39" s="32" cm="1">
        <f t="array" aca="1" ref="C39" ca="1">IF(E39="F",SUMPRODUCT(($E$5:$E$91=E39)*(Q39&lt;$Q$5:$Q$91))+1,"")</f>
        <v>9</v>
      </c>
      <c r="D39" s="30" t="s">
        <v>97</v>
      </c>
      <c r="E39" s="31" t="s">
        <v>49</v>
      </c>
      <c r="F39" s="35" t="str">
        <f ca="1">IF($D39="","",(IF(COUNTIF((INDIRECT("'"&amp;F$4&amp;"'!$B$4:$B$83")),CONCATENATE("*",$D39,"*"))=1,VLOOKUP(CONCATENATE("*",$D39,"*"),(INDIRECT("'"&amp;F$4&amp;"'!$B$4:$H$83")),7,FALSE),"")))</f>
        <v/>
      </c>
      <c r="G39" s="35">
        <f ca="1">IF($D39="","",(IF(COUNTIF((INDIRECT("'"&amp;G$4&amp;"'!$B$4:$B$83")),CONCATENATE("*",$D39,"*"))=1,VLOOKUP(CONCATENATE("*",$D39,"*"),(INDIRECT("'"&amp;G$4&amp;"'!$B$4:$H$83")),7,FALSE),"")))</f>
        <v>19</v>
      </c>
      <c r="H39" s="35" t="str">
        <f ca="1">IF($D39="","",(IF(COUNTIF((INDIRECT("'"&amp;H$4&amp;"'!$B$4:$B$83")),CONCATENATE("*",$D39,"*"))=1,VLOOKUP(CONCATENATE("*",$D39,"*"),(INDIRECT("'"&amp;H$4&amp;"'!$B$4:$H$83")),7,FALSE),"")))</f>
        <v/>
      </c>
      <c r="I39" s="35">
        <f ca="1">IF($D39="","",(IF(COUNTIF((INDIRECT("'"&amp;I$4&amp;"'!$B$4:$B$83")),CONCATENATE("*",$D39,"*"))=1,VLOOKUP(CONCATENATE("*",$D39,"*"),(INDIRECT("'"&amp;I$4&amp;"'!$B$4:$H$83")),7,FALSE),"")))</f>
        <v>31</v>
      </c>
      <c r="J39" s="35" t="str">
        <f ca="1">IF($D39="","",(IF(COUNTIF((INDIRECT("'"&amp;J$4&amp;"'!$B$4:$B$83")),CONCATENATE("*",$D39,"*"))=1,VLOOKUP(CONCATENATE("*",$D39,"*"),(INDIRECT("'"&amp;J$4&amp;"'!$B$4:$H$83")),7,FALSE),"")))</f>
        <v/>
      </c>
      <c r="K39" s="35" t="str">
        <f ca="1">IF($D39="","",(IF(COUNTIF((INDIRECT("'"&amp;K$4&amp;"'!$B$4:$B$83")),CONCATENATE("*",$D39,"*"))=1,VLOOKUP(CONCATENATE("*",$D39,"*"),(INDIRECT("'"&amp;K$4&amp;"'!$B$4:$H$83")),7,FALSE),"")))</f>
        <v/>
      </c>
      <c r="L39" s="35" t="str">
        <f ca="1">IF($D39="","",(IF(COUNTIF((INDIRECT("'"&amp;L$4&amp;"'!$B$4:$B$83")),CONCATENATE("*",$D39,"*"))=1,VLOOKUP(CONCATENATE("*",$D39,"*"),(INDIRECT("'"&amp;L$4&amp;"'!$B$4:$H$83")),7,FALSE),"")))</f>
        <v/>
      </c>
      <c r="M39" s="35" t="str">
        <f ca="1">IF($D39="","",(IF(COUNTIF((INDIRECT("'"&amp;M$4&amp;"'!$B$4:$B$83")),CONCATENATE("*",$D39,"*"))=1,VLOOKUP(CONCATENATE("*",$D39,"*"),(INDIRECT("'"&amp;M$4&amp;"'!$B$4:$H$83")),7,FALSE),"")))</f>
        <v/>
      </c>
      <c r="N39" s="31" t="str">
        <f>IF(O39&lt;&gt;"",MAX(F39:M39),"")</f>
        <v/>
      </c>
      <c r="O39" s="32"/>
      <c r="P39" s="32">
        <f ca="1">COUNTIF(F39:M39,"&gt;0")</f>
        <v>2</v>
      </c>
      <c r="Q39" s="37">
        <f t="array" aca="1" ref="Q39" ca="1">IF(COUNT(F39:N39)&gt;5,SUM(LARGE(F39:N39,{1,2,3,4,5})),SUM(F39:N39))</f>
        <v>50</v>
      </c>
    </row>
    <row r="40" spans="2:17" x14ac:dyDescent="0.35">
      <c r="B40" s="33">
        <f ca="1">IF(D40="","",RANK(Q40,$Q$5:$Q$91,0))</f>
        <v>36</v>
      </c>
      <c r="C40" s="32" cm="1">
        <f t="array" aca="1" ref="C40" ca="1">IF(E40="F",SUMPRODUCT(($E$5:$E$91=E40)*(Q40&lt;$Q$5:$Q$91))+1,"")</f>
        <v>10</v>
      </c>
      <c r="D40" s="30" t="s">
        <v>31</v>
      </c>
      <c r="E40" s="31" t="s">
        <v>49</v>
      </c>
      <c r="F40" s="35">
        <f ca="1">IF($D40="","",(IF(COUNTIF((INDIRECT("'"&amp;F$4&amp;"'!$B$4:$B$83")),CONCATENATE("*",$D40,"*"))=1,VLOOKUP(CONCATENATE("*",$D40,"*"),(INDIRECT("'"&amp;F$4&amp;"'!$B$4:$H$83")),7,FALSE),"")))</f>
        <v>20</v>
      </c>
      <c r="G40" s="35" t="str">
        <f ca="1">IF($D40="","",(IF(COUNTIF((INDIRECT("'"&amp;G$4&amp;"'!$B$4:$B$83")),CONCATENATE("*",$D40,"*"))=1,VLOOKUP(CONCATENATE("*",$D40,"*"),(INDIRECT("'"&amp;G$4&amp;"'!$B$4:$H$83")),7,FALSE),"")))</f>
        <v/>
      </c>
      <c r="H40" s="35">
        <f ca="1">IF($D40="","",(IF(COUNTIF((INDIRECT("'"&amp;H$4&amp;"'!$B$4:$B$83")),CONCATENATE("*",$D40,"*"))=1,VLOOKUP(CONCATENATE("*",$D40,"*"),(INDIRECT("'"&amp;H$4&amp;"'!$B$4:$H$83")),7,FALSE),"")))</f>
        <v>14</v>
      </c>
      <c r="I40" s="35">
        <f ca="1">IF($D40="","",(IF(COUNTIF((INDIRECT("'"&amp;I$4&amp;"'!$B$4:$B$83")),CONCATENATE("*",$D40,"*"))=1,VLOOKUP(CONCATENATE("*",$D40,"*"),(INDIRECT("'"&amp;I$4&amp;"'!$B$4:$H$83")),7,FALSE),"")))</f>
        <v>15</v>
      </c>
      <c r="J40" s="35" t="str">
        <f ca="1">IF($D40="","",(IF(COUNTIF((INDIRECT("'"&amp;J$4&amp;"'!$B$4:$B$83")),CONCATENATE("*",$D40,"*"))=1,VLOOKUP(CONCATENATE("*",$D40,"*"),(INDIRECT("'"&amp;J$4&amp;"'!$B$4:$H$83")),7,FALSE),"")))</f>
        <v/>
      </c>
      <c r="K40" s="35" t="str">
        <f ca="1">IF($D40="","",(IF(COUNTIF((INDIRECT("'"&amp;K$4&amp;"'!$B$4:$B$83")),CONCATENATE("*",$D40,"*"))=1,VLOOKUP(CONCATENATE("*",$D40,"*"),(INDIRECT("'"&amp;K$4&amp;"'!$B$4:$H$83")),7,FALSE),"")))</f>
        <v/>
      </c>
      <c r="L40" s="35" t="str">
        <f ca="1">IF($D40="","",(IF(COUNTIF((INDIRECT("'"&amp;L$4&amp;"'!$B$4:$B$83")),CONCATENATE("*",$D40,"*"))=1,VLOOKUP(CONCATENATE("*",$D40,"*"),(INDIRECT("'"&amp;L$4&amp;"'!$B$4:$H$83")),7,FALSE),"")))</f>
        <v/>
      </c>
      <c r="M40" s="35" t="str">
        <f ca="1">IF($D40="","",(IF(COUNTIF((INDIRECT("'"&amp;M$4&amp;"'!$B$4:$B$83")),CONCATENATE("*",$D40,"*"))=1,VLOOKUP(CONCATENATE("*",$D40,"*"),(INDIRECT("'"&amp;M$4&amp;"'!$B$4:$H$83")),7,FALSE),"")))</f>
        <v/>
      </c>
      <c r="N40" s="31" t="str">
        <f>IF(O40&lt;&gt;"",MAX(F40:M40),"")</f>
        <v/>
      </c>
      <c r="O40" s="32"/>
      <c r="P40" s="32">
        <f ca="1">COUNTIF(F40:M40,"&gt;0")</f>
        <v>3</v>
      </c>
      <c r="Q40" s="37">
        <f t="array" aca="1" ref="Q40" ca="1">IF(COUNT(F40:N40)&gt;5,SUM(LARGE(F40:N40,{1,2,3,4,5})),SUM(F40:N40))</f>
        <v>49</v>
      </c>
    </row>
    <row r="41" spans="2:17" x14ac:dyDescent="0.35">
      <c r="B41" s="33">
        <f ca="1">IF(D41="","",RANK(Q41,$Q$5:$Q$91,0))</f>
        <v>36</v>
      </c>
      <c r="C41" s="32" t="str" cm="1">
        <f t="array" ref="C41">IF(E41="F",SUMPRODUCT(($E$5:$E$91=E41)*(Q41&lt;$Q$5:$Q$91))+1,"")</f>
        <v/>
      </c>
      <c r="D41" s="30" t="s">
        <v>87</v>
      </c>
      <c r="E41" s="31"/>
      <c r="F41" s="35" t="str">
        <f ca="1">IF($D41="","",(IF(COUNTIF((INDIRECT("'"&amp;F$4&amp;"'!$B$4:$B$83")),CONCATENATE("*",$D41,"*"))=1,VLOOKUP(CONCATENATE("*",$D41,"*"),(INDIRECT("'"&amp;F$4&amp;"'!$B$4:$H$83")),7,FALSE),"")))</f>
        <v/>
      </c>
      <c r="G41" s="35">
        <f ca="1">IF($D41="","",(IF(COUNTIF((INDIRECT("'"&amp;G$4&amp;"'!$B$4:$B$83")),CONCATENATE("*",$D41,"*"))=1,VLOOKUP(CONCATENATE("*",$D41,"*"),(INDIRECT("'"&amp;G$4&amp;"'!$B$4:$H$83")),7,FALSE),"")))</f>
        <v>22</v>
      </c>
      <c r="H41" s="35" t="str">
        <f ca="1">IF($D41="","",(IF(COUNTIF((INDIRECT("'"&amp;H$4&amp;"'!$B$4:$B$83")),CONCATENATE("*",$D41,"*"))=1,VLOOKUP(CONCATENATE("*",$D41,"*"),(INDIRECT("'"&amp;H$4&amp;"'!$B$4:$H$83")),7,FALSE),"")))</f>
        <v/>
      </c>
      <c r="I41" s="35">
        <f ca="1">IF($D41="","",(IF(COUNTIF((INDIRECT("'"&amp;I$4&amp;"'!$B$4:$B$83")),CONCATENATE("*",$D41,"*"))=1,VLOOKUP(CONCATENATE("*",$D41,"*"),(INDIRECT("'"&amp;I$4&amp;"'!$B$4:$H$83")),7,FALSE),"")))</f>
        <v>27</v>
      </c>
      <c r="J41" s="35" t="str">
        <f ca="1">IF($D41="","",(IF(COUNTIF((INDIRECT("'"&amp;J$4&amp;"'!$B$4:$B$83")),CONCATENATE("*",$D41,"*"))=1,VLOOKUP(CONCATENATE("*",$D41,"*"),(INDIRECT("'"&amp;J$4&amp;"'!$B$4:$H$83")),7,FALSE),"")))</f>
        <v/>
      </c>
      <c r="K41" s="35" t="str">
        <f ca="1">IF($D41="","",(IF(COUNTIF((INDIRECT("'"&amp;K$4&amp;"'!$B$4:$B$83")),CONCATENATE("*",$D41,"*"))=1,VLOOKUP(CONCATENATE("*",$D41,"*"),(INDIRECT("'"&amp;K$4&amp;"'!$B$4:$H$83")),7,FALSE),"")))</f>
        <v/>
      </c>
      <c r="L41" s="35" t="str">
        <f ca="1">IF($D41="","",(IF(COUNTIF((INDIRECT("'"&amp;L$4&amp;"'!$B$4:$B$83")),CONCATENATE("*",$D41,"*"))=1,VLOOKUP(CONCATENATE("*",$D41,"*"),(INDIRECT("'"&amp;L$4&amp;"'!$B$4:$H$83")),7,FALSE),"")))</f>
        <v/>
      </c>
      <c r="M41" s="35" t="str">
        <f ca="1">IF($D41="","",(IF(COUNTIF((INDIRECT("'"&amp;M$4&amp;"'!$B$4:$B$83")),CONCATENATE("*",$D41,"*"))=1,VLOOKUP(CONCATENATE("*",$D41,"*"),(INDIRECT("'"&amp;M$4&amp;"'!$B$4:$H$83")),7,FALSE),"")))</f>
        <v/>
      </c>
      <c r="N41" s="31" t="str">
        <f>IF(O41&lt;&gt;"",MAX(F41:M41),"")</f>
        <v/>
      </c>
      <c r="O41" s="32"/>
      <c r="P41" s="32">
        <f ca="1">COUNTIF(F41:M41,"&gt;0")</f>
        <v>2</v>
      </c>
      <c r="Q41" s="37">
        <f t="array" aca="1" ref="Q41" ca="1">IF(COUNT(F41:N41)&gt;5,SUM(LARGE(F41:N41,{1,2,3,4,5})),SUM(F41:N41))</f>
        <v>49</v>
      </c>
    </row>
    <row r="42" spans="2:17" x14ac:dyDescent="0.35">
      <c r="B42" s="33">
        <f ca="1">IF(D42="","",RANK(Q42,$Q$5:$Q$91,0))</f>
        <v>38</v>
      </c>
      <c r="C42" s="32" t="str" cm="1">
        <f t="array" ref="C42">IF(E42="F",SUMPRODUCT(($E$5:$E$91=E42)*(Q42&lt;$Q$5:$Q$91))+1,"")</f>
        <v/>
      </c>
      <c r="D42" s="29" t="s">
        <v>21</v>
      </c>
      <c r="E42" s="32"/>
      <c r="F42" s="35">
        <f ca="1">IF($D42="","",(IF(COUNTIF((INDIRECT("'"&amp;F$4&amp;"'!$B$4:$B$83")),CONCATENATE("*",$D42,"*"))=1,VLOOKUP(CONCATENATE("*",$D42,"*"),(INDIRECT("'"&amp;F$4&amp;"'!$B$4:$H$83")),7,FALSE),"")))</f>
        <v>24</v>
      </c>
      <c r="G42" s="35">
        <f ca="1">IF($D42="","",(IF(COUNTIF((INDIRECT("'"&amp;G$4&amp;"'!$B$4:$B$83")),CONCATENATE("*",$D42,"*"))=1,VLOOKUP(CONCATENATE("*",$D42,"*"),(INDIRECT("'"&amp;G$4&amp;"'!$B$4:$H$83")),7,FALSE),"")))</f>
        <v>14</v>
      </c>
      <c r="H42" s="35" t="str">
        <f ca="1">IF($D42="","",(IF(COUNTIF((INDIRECT("'"&amp;H$4&amp;"'!$B$4:$B$83")),CONCATENATE("*",$D42,"*"))=1,VLOOKUP(CONCATENATE("*",$D42,"*"),(INDIRECT("'"&amp;H$4&amp;"'!$B$4:$H$83")),7,FALSE),"")))</f>
        <v/>
      </c>
      <c r="I42" s="35">
        <f ca="1">IF($D42="","",(IF(COUNTIF((INDIRECT("'"&amp;I$4&amp;"'!$B$4:$B$83")),CONCATENATE("*",$D42,"*"))=1,VLOOKUP(CONCATENATE("*",$D42,"*"),(INDIRECT("'"&amp;I$4&amp;"'!$B$4:$H$83")),7,FALSE),"")))</f>
        <v>8</v>
      </c>
      <c r="J42" s="35" t="str">
        <f ca="1">IF($D42="","",(IF(COUNTIF((INDIRECT("'"&amp;J$4&amp;"'!$B$4:$B$83")),CONCATENATE("*",$D42,"*"))=1,VLOOKUP(CONCATENATE("*",$D42,"*"),(INDIRECT("'"&amp;J$4&amp;"'!$B$4:$H$83")),7,FALSE),"")))</f>
        <v/>
      </c>
      <c r="K42" s="35" t="str">
        <f ca="1">IF($D42="","",(IF(COUNTIF((INDIRECT("'"&amp;K$4&amp;"'!$B$4:$B$83")),CONCATENATE("*",$D42,"*"))=1,VLOOKUP(CONCATENATE("*",$D42,"*"),(INDIRECT("'"&amp;K$4&amp;"'!$B$4:$H$83")),7,FALSE),"")))</f>
        <v/>
      </c>
      <c r="L42" s="35" t="str">
        <f ca="1">IF($D42="","",(IF(COUNTIF((INDIRECT("'"&amp;L$4&amp;"'!$B$4:$B$83")),CONCATENATE("*",$D42,"*"))=1,VLOOKUP(CONCATENATE("*",$D42,"*"),(INDIRECT("'"&amp;L$4&amp;"'!$B$4:$H$83")),7,FALSE),"")))</f>
        <v/>
      </c>
      <c r="M42" s="35" t="str">
        <f ca="1">IF($D42="","",(IF(COUNTIF((INDIRECT("'"&amp;M$4&amp;"'!$B$4:$B$83")),CONCATENATE("*",$D42,"*"))=1,VLOOKUP(CONCATENATE("*",$D42,"*"),(INDIRECT("'"&amp;M$4&amp;"'!$B$4:$H$83")),7,FALSE),"")))</f>
        <v/>
      </c>
      <c r="N42" s="32" t="str">
        <f>IF(O42&lt;&gt;"",MAX(F42:M42),"")</f>
        <v/>
      </c>
      <c r="O42" s="32"/>
      <c r="P42" s="32">
        <f ca="1">COUNTIF(F42:M42,"&gt;0")</f>
        <v>3</v>
      </c>
      <c r="Q42" s="37">
        <f t="array" aca="1" ref="Q42" ca="1">IF(COUNT(F42:N42)&gt;5,SUM(LARGE(F42:N42,{1,2,3,4,5})),SUM(F42:N42))</f>
        <v>46</v>
      </c>
    </row>
    <row r="43" spans="2:17" x14ac:dyDescent="0.35">
      <c r="B43" s="33">
        <f ca="1">IF(D43="","",RANK(Q43,$Q$5:$Q$91,0))</f>
        <v>39</v>
      </c>
      <c r="C43" s="32" cm="1">
        <f t="array" aca="1" ref="C43" ca="1">IF(E43="F",SUMPRODUCT(($E$5:$E$91=E43)*(Q43&lt;$Q$5:$Q$91))+1,"")</f>
        <v>11</v>
      </c>
      <c r="D43" s="30" t="s">
        <v>70</v>
      </c>
      <c r="E43" s="31" t="s">
        <v>49</v>
      </c>
      <c r="F43" s="35">
        <f ca="1">IF($D43="","",(IF(COUNTIF((INDIRECT("'"&amp;F$4&amp;"'!$B$4:$B$83")),CONCATENATE("*",$D43,"*"))=1,VLOOKUP(CONCATENATE("*",$D43,"*"),(INDIRECT("'"&amp;F$4&amp;"'!$B$4:$H$83")),7,FALSE),"")))</f>
        <v>22</v>
      </c>
      <c r="G43" s="35" t="str">
        <f ca="1">IF($D43="","",(IF(COUNTIF((INDIRECT("'"&amp;G$4&amp;"'!$B$4:$B$83")),CONCATENATE("*",$D43,"*"))=1,VLOOKUP(CONCATENATE("*",$D43,"*"),(INDIRECT("'"&amp;G$4&amp;"'!$B$4:$H$83")),7,FALSE),"")))</f>
        <v/>
      </c>
      <c r="H43" s="35" t="str">
        <f ca="1">IF($D43="","",(IF(COUNTIF((INDIRECT("'"&amp;H$4&amp;"'!$B$4:$B$83")),CONCATENATE("*",$D43,"*"))=1,VLOOKUP(CONCATENATE("*",$D43,"*"),(INDIRECT("'"&amp;H$4&amp;"'!$B$4:$H$83")),7,FALSE),"")))</f>
        <v/>
      </c>
      <c r="I43" s="35">
        <f ca="1">IF($D43="","",(IF(COUNTIF((INDIRECT("'"&amp;I$4&amp;"'!$B$4:$B$83")),CONCATENATE("*",$D43,"*"))=1,VLOOKUP(CONCATENATE("*",$D43,"*"),(INDIRECT("'"&amp;I$4&amp;"'!$B$4:$H$83")),7,FALSE),"")))</f>
        <v>23</v>
      </c>
      <c r="J43" s="35" t="str">
        <f ca="1">IF($D43="","",(IF(COUNTIF((INDIRECT("'"&amp;J$4&amp;"'!$B$4:$B$83")),CONCATENATE("*",$D43,"*"))=1,VLOOKUP(CONCATENATE("*",$D43,"*"),(INDIRECT("'"&amp;J$4&amp;"'!$B$4:$H$83")),7,FALSE),"")))</f>
        <v/>
      </c>
      <c r="K43" s="35" t="str">
        <f ca="1">IF($D43="","",(IF(COUNTIF((INDIRECT("'"&amp;K$4&amp;"'!$B$4:$B$83")),CONCATENATE("*",$D43,"*"))=1,VLOOKUP(CONCATENATE("*",$D43,"*"),(INDIRECT("'"&amp;K$4&amp;"'!$B$4:$H$83")),7,FALSE),"")))</f>
        <v/>
      </c>
      <c r="L43" s="35" t="str">
        <f ca="1">IF($D43="","",(IF(COUNTIF((INDIRECT("'"&amp;L$4&amp;"'!$B$4:$B$83")),CONCATENATE("*",$D43,"*"))=1,VLOOKUP(CONCATENATE("*",$D43,"*"),(INDIRECT("'"&amp;L$4&amp;"'!$B$4:$H$83")),7,FALSE),"")))</f>
        <v/>
      </c>
      <c r="M43" s="35" t="str">
        <f ca="1">IF($D43="","",(IF(COUNTIF((INDIRECT("'"&amp;M$4&amp;"'!$B$4:$B$83")),CONCATENATE("*",$D43,"*"))=1,VLOOKUP(CONCATENATE("*",$D43,"*"),(INDIRECT("'"&amp;M$4&amp;"'!$B$4:$H$83")),7,FALSE),"")))</f>
        <v/>
      </c>
      <c r="N43" s="32"/>
      <c r="O43" s="32"/>
      <c r="P43" s="32">
        <f ca="1">COUNTIF(F43:M43,"&gt;0")</f>
        <v>2</v>
      </c>
      <c r="Q43" s="37">
        <f t="array" aca="1" ref="Q43" ca="1">IF(COUNT(F43:N43)&gt;5,SUM(LARGE(F43:N43,{1,2,3,4,5})),SUM(F43:N43))</f>
        <v>45</v>
      </c>
    </row>
    <row r="44" spans="2:17" x14ac:dyDescent="0.35">
      <c r="B44" s="33">
        <f ca="1">IF(D44="","",RANK(Q44,$Q$5:$Q$91,0))</f>
        <v>40</v>
      </c>
      <c r="C44" s="32" t="str" cm="1">
        <f t="array" ref="C44">IF(E44="F",SUMPRODUCT(($E$5:$E$91=E44)*(Q44&lt;$Q$5:$Q$91))+1,"")</f>
        <v/>
      </c>
      <c r="D44" s="30" t="s">
        <v>77</v>
      </c>
      <c r="E44" s="31" t="s">
        <v>115</v>
      </c>
      <c r="F44" s="35" t="str">
        <f ca="1">IF($D44="","",(IF(COUNTIF((INDIRECT("'"&amp;F$4&amp;"'!$B$4:$B$83")),CONCATENATE("*",$D44,"*"))=1,VLOOKUP(CONCATENATE("*",$D44,"*"),(INDIRECT("'"&amp;F$4&amp;"'!$B$4:$H$83")),7,FALSE),"")))</f>
        <v/>
      </c>
      <c r="G44" s="35">
        <f ca="1">IF($D44="","",(IF(COUNTIF((INDIRECT("'"&amp;G$4&amp;"'!$B$4:$B$83")),CONCATENATE("*",$D44,"*"))=1,VLOOKUP(CONCATENATE("*",$D44,"*"),(INDIRECT("'"&amp;G$4&amp;"'!$B$4:$H$83")),7,FALSE),"")))</f>
        <v>42</v>
      </c>
      <c r="H44" s="35" t="str">
        <f ca="1">IF($D44="","",(IF(COUNTIF((INDIRECT("'"&amp;H$4&amp;"'!$B$4:$B$83")),CONCATENATE("*",$D44,"*"))=1,VLOOKUP(CONCATENATE("*",$D44,"*"),(INDIRECT("'"&amp;H$4&amp;"'!$B$4:$H$83")),7,FALSE),"")))</f>
        <v/>
      </c>
      <c r="I44" s="35" t="str">
        <f ca="1">IF($D44="","",(IF(COUNTIF((INDIRECT("'"&amp;I$4&amp;"'!$B$4:$B$83")),CONCATENATE("*",$D44,"*"))=1,VLOOKUP(CONCATENATE("*",$D44,"*"),(INDIRECT("'"&amp;I$4&amp;"'!$B$4:$H$83")),7,FALSE),"")))</f>
        <v/>
      </c>
      <c r="J44" s="35" t="str">
        <f ca="1">IF($D44="","",(IF(COUNTIF((INDIRECT("'"&amp;J$4&amp;"'!$B$4:$B$83")),CONCATENATE("*",$D44,"*"))=1,VLOOKUP(CONCATENATE("*",$D44,"*"),(INDIRECT("'"&amp;J$4&amp;"'!$B$4:$H$83")),7,FALSE),"")))</f>
        <v/>
      </c>
      <c r="K44" s="35" t="str">
        <f ca="1">IF($D44="","",(IF(COUNTIF((INDIRECT("'"&amp;K$4&amp;"'!$B$4:$B$83")),CONCATENATE("*",$D44,"*"))=1,VLOOKUP(CONCATENATE("*",$D44,"*"),(INDIRECT("'"&amp;K$4&amp;"'!$B$4:$H$83")),7,FALSE),"")))</f>
        <v/>
      </c>
      <c r="L44" s="35" t="str">
        <f ca="1">IF($D44="","",(IF(COUNTIF((INDIRECT("'"&amp;L$4&amp;"'!$B$4:$B$83")),CONCATENATE("*",$D44,"*"))=1,VLOOKUP(CONCATENATE("*",$D44,"*"),(INDIRECT("'"&amp;L$4&amp;"'!$B$4:$H$83")),7,FALSE),"")))</f>
        <v/>
      </c>
      <c r="M44" s="35" t="str">
        <f ca="1">IF($D44="","",(IF(COUNTIF((INDIRECT("'"&amp;M$4&amp;"'!$B$4:$B$83")),CONCATENATE("*",$D44,"*"))=1,VLOOKUP(CONCATENATE("*",$D44,"*"),(INDIRECT("'"&amp;M$4&amp;"'!$B$4:$H$83")),7,FALSE),"")))</f>
        <v/>
      </c>
      <c r="N44" s="31" t="str">
        <f>IF(O44&lt;&gt;"",MAX(F44:M44),"")</f>
        <v/>
      </c>
      <c r="O44" s="32"/>
      <c r="P44" s="32">
        <f ca="1">COUNTIF(F44:M44,"&gt;0")</f>
        <v>1</v>
      </c>
      <c r="Q44" s="37">
        <f t="array" aca="1" ref="Q44" ca="1">IF(COUNT(F44:N44)&gt;5,SUM(LARGE(F44:N44,{1,2,3,4,5})),SUM(F44:N44))</f>
        <v>42</v>
      </c>
    </row>
    <row r="45" spans="2:17" x14ac:dyDescent="0.35">
      <c r="B45" s="33">
        <f ca="1">IF(D45="","",RANK(Q45,$Q$5:$Q$91,0))</f>
        <v>41</v>
      </c>
      <c r="C45" s="32" t="str" cm="1">
        <f t="array" ref="C45">IF(E45="F",SUMPRODUCT(($E$5:$E$91=E45)*(Q45&lt;$Q$5:$Q$91))+1,"")</f>
        <v/>
      </c>
      <c r="D45" s="39" t="s">
        <v>98</v>
      </c>
      <c r="E45" s="31"/>
      <c r="F45" s="35" t="str">
        <f ca="1">IF($D45="","",(IF(COUNTIF((INDIRECT("'"&amp;F$4&amp;"'!$B$4:$B$83")),CONCATENATE("*",$D45,"*"))=1,VLOOKUP(CONCATENATE("*",$D45,"*"),(INDIRECT("'"&amp;F$4&amp;"'!$B$4:$H$83")),7,FALSE),"")))</f>
        <v/>
      </c>
      <c r="G45" s="35" t="str">
        <f ca="1">IF($D45="","",(IF(COUNTIF((INDIRECT("'"&amp;G$4&amp;"'!$B$4:$B$83")),CONCATENATE("*",$D45,"*"))=1,VLOOKUP(CONCATENATE("*",$D45,"*"),(INDIRECT("'"&amp;G$4&amp;"'!$B$4:$H$83")),7,FALSE),"")))</f>
        <v/>
      </c>
      <c r="H45" s="35">
        <f ca="1">IF($D45="","",(IF(COUNTIF((INDIRECT("'"&amp;H$4&amp;"'!$B$4:$B$83")),CONCATENATE("*",$D45,"*"))=1,VLOOKUP(CONCATENATE("*",$D45,"*"),(INDIRECT("'"&amp;H$4&amp;"'!$B$4:$H$83")),7,FALSE),"")))</f>
        <v>41</v>
      </c>
      <c r="I45" s="35" t="str">
        <f ca="1">IF($D45="","",(IF(COUNTIF((INDIRECT("'"&amp;I$4&amp;"'!$B$4:$B$83")),CONCATENATE("*",$D45,"*"))=1,VLOOKUP(CONCATENATE("*",$D45,"*"),(INDIRECT("'"&amp;I$4&amp;"'!$B$4:$H$83")),7,FALSE),"")))</f>
        <v/>
      </c>
      <c r="J45" s="35" t="str">
        <f ca="1">IF($D45="","",(IF(COUNTIF((INDIRECT("'"&amp;J$4&amp;"'!$B$4:$B$83")),CONCATENATE("*",$D45,"*"))=1,VLOOKUP(CONCATENATE("*",$D45,"*"),(INDIRECT("'"&amp;J$4&amp;"'!$B$4:$H$83")),7,FALSE),"")))</f>
        <v/>
      </c>
      <c r="K45" s="35" t="str">
        <f ca="1">IF($D45="","",(IF(COUNTIF((INDIRECT("'"&amp;K$4&amp;"'!$B$4:$B$83")),CONCATENATE("*",$D45,"*"))=1,VLOOKUP(CONCATENATE("*",$D45,"*"),(INDIRECT("'"&amp;K$4&amp;"'!$B$4:$H$83")),7,FALSE),"")))</f>
        <v/>
      </c>
      <c r="L45" s="35" t="str">
        <f ca="1">IF($D45="","",(IF(COUNTIF((INDIRECT("'"&amp;L$4&amp;"'!$B$4:$B$83")),CONCATENATE("*",$D45,"*"))=1,VLOOKUP(CONCATENATE("*",$D45,"*"),(INDIRECT("'"&amp;L$4&amp;"'!$B$4:$H$83")),7,FALSE),"")))</f>
        <v/>
      </c>
      <c r="M45" s="35" t="str">
        <f ca="1">IF($D45="","",(IF(COUNTIF((INDIRECT("'"&amp;M$4&amp;"'!$B$4:$B$83")),CONCATENATE("*",$D45,"*"))=1,VLOOKUP(CONCATENATE("*",$D45,"*"),(INDIRECT("'"&amp;M$4&amp;"'!$B$4:$H$83")),7,FALSE),"")))</f>
        <v/>
      </c>
      <c r="N45" s="31" t="str">
        <f>IF(O45&lt;&gt;"",MAX(F45:M45),"")</f>
        <v/>
      </c>
      <c r="O45" s="32"/>
      <c r="P45" s="32">
        <f ca="1">COUNTIF(F45:M45,"&gt;0")</f>
        <v>1</v>
      </c>
      <c r="Q45" s="37">
        <f t="array" aca="1" ref="Q45" ca="1">IF(COUNT(F45:N45)&gt;5,SUM(LARGE(F45:N45,{1,2,3,4,5})),SUM(F45:N45))</f>
        <v>41</v>
      </c>
    </row>
    <row r="46" spans="2:17" x14ac:dyDescent="0.35">
      <c r="B46" s="33">
        <f ca="1">IF(D46="","",RANK(Q46,$Q$5:$Q$91,0))</f>
        <v>42</v>
      </c>
      <c r="C46" s="32" t="str" cm="1">
        <f t="array" ref="C46">IF(E46="F",SUMPRODUCT(($E$5:$E$91=E46)*(Q46&lt;$Q$5:$Q$91))+1,"")</f>
        <v/>
      </c>
      <c r="D46" s="30" t="s">
        <v>61</v>
      </c>
      <c r="E46" s="31"/>
      <c r="F46" s="35">
        <f ca="1">IF($D46="","",(IF(COUNTIF((INDIRECT("'"&amp;F$4&amp;"'!$B$4:$B$83")),CONCATENATE("*",$D46,"*"))=1,VLOOKUP(CONCATENATE("*",$D46,"*"),(INDIRECT("'"&amp;F$4&amp;"'!$B$4:$H$83")),7,FALSE),"")))</f>
        <v>39</v>
      </c>
      <c r="G46" s="35" t="str">
        <f ca="1">IF($D46="","",(IF(COUNTIF((INDIRECT("'"&amp;G$4&amp;"'!$B$4:$B$83")),CONCATENATE("*",$D46,"*"))=1,VLOOKUP(CONCATENATE("*",$D46,"*"),(INDIRECT("'"&amp;G$4&amp;"'!$B$4:$H$83")),7,FALSE),"")))</f>
        <v/>
      </c>
      <c r="H46" s="35" t="str">
        <f ca="1">IF($D46="","",(IF(COUNTIF((INDIRECT("'"&amp;H$4&amp;"'!$B$4:$B$83")),CONCATENATE("*",$D46,"*"))=1,VLOOKUP(CONCATENATE("*",$D46,"*"),(INDIRECT("'"&amp;H$4&amp;"'!$B$4:$H$83")),7,FALSE),"")))</f>
        <v/>
      </c>
      <c r="I46" s="35" t="str">
        <f ca="1">IF($D46="","",(IF(COUNTIF((INDIRECT("'"&amp;I$4&amp;"'!$B$4:$B$83")),CONCATENATE("*",$D46,"*"))=1,VLOOKUP(CONCATENATE("*",$D46,"*"),(INDIRECT("'"&amp;I$4&amp;"'!$B$4:$H$83")),7,FALSE),"")))</f>
        <v/>
      </c>
      <c r="J46" s="35" t="str">
        <f ca="1">IF($D46="","",(IF(COUNTIF((INDIRECT("'"&amp;J$4&amp;"'!$B$4:$B$83")),CONCATENATE("*",$D46,"*"))=1,VLOOKUP(CONCATENATE("*",$D46,"*"),(INDIRECT("'"&amp;J$4&amp;"'!$B$4:$H$83")),7,FALSE),"")))</f>
        <v/>
      </c>
      <c r="K46" s="35" t="str">
        <f ca="1">IF($D46="","",(IF(COUNTIF((INDIRECT("'"&amp;K$4&amp;"'!$B$4:$B$83")),CONCATENATE("*",$D46,"*"))=1,VLOOKUP(CONCATENATE("*",$D46,"*"),(INDIRECT("'"&amp;K$4&amp;"'!$B$4:$H$83")),7,FALSE),"")))</f>
        <v/>
      </c>
      <c r="L46" s="35" t="str">
        <f ca="1">IF($D46="","",(IF(COUNTIF((INDIRECT("'"&amp;L$4&amp;"'!$B$4:$B$83")),CONCATENATE("*",$D46,"*"))=1,VLOOKUP(CONCATENATE("*",$D46,"*"),(INDIRECT("'"&amp;L$4&amp;"'!$B$4:$H$83")),7,FALSE),"")))</f>
        <v/>
      </c>
      <c r="M46" s="35" t="str">
        <f ca="1">IF($D46="","",(IF(COUNTIF((INDIRECT("'"&amp;M$4&amp;"'!$B$4:$B$83")),CONCATENATE("*",$D46,"*"))=1,VLOOKUP(CONCATENATE("*",$D46,"*"),(INDIRECT("'"&amp;M$4&amp;"'!$B$4:$H$83")),7,FALSE),"")))</f>
        <v/>
      </c>
      <c r="N46" s="31" t="str">
        <f>IF(O46&lt;&gt;"",MAX(F46:M46),"")</f>
        <v/>
      </c>
      <c r="O46" s="32"/>
      <c r="P46" s="32">
        <f ca="1">COUNTIF(F46:M46,"&gt;0")</f>
        <v>1</v>
      </c>
      <c r="Q46" s="37">
        <f t="array" aca="1" ref="Q46" ca="1">IF(COUNT(F46:N46)&gt;5,SUM(LARGE(F46:N46,{1,2,3,4,5})),SUM(F46:N46))</f>
        <v>39</v>
      </c>
    </row>
    <row r="47" spans="2:17" x14ac:dyDescent="0.35">
      <c r="B47" s="33">
        <f ca="1">IF(D47="","",RANK(Q47,$Q$5:$Q$91,0))</f>
        <v>43</v>
      </c>
      <c r="C47" s="32" t="str" cm="1">
        <f t="array" ref="C47">IF(E47="F",SUMPRODUCT(($E$5:$E$91=E47)*(Q47&lt;$Q$5:$Q$91))+1,"")</f>
        <v/>
      </c>
      <c r="D47" s="30" t="s">
        <v>62</v>
      </c>
      <c r="E47" s="31"/>
      <c r="F47" s="35">
        <f ca="1">IF($D47="","",(IF(COUNTIF((INDIRECT("'"&amp;F$4&amp;"'!$B$4:$B$83")),CONCATENATE("*",$D47,"*"))=1,VLOOKUP(CONCATENATE("*",$D47,"*"),(INDIRECT("'"&amp;F$4&amp;"'!$B$4:$H$83")),7,FALSE),"")))</f>
        <v>38</v>
      </c>
      <c r="G47" s="35" t="str">
        <f ca="1">IF($D47="","",(IF(COUNTIF((INDIRECT("'"&amp;G$4&amp;"'!$B$4:$B$83")),CONCATENATE("*",$D47,"*"))=1,VLOOKUP(CONCATENATE("*",$D47,"*"),(INDIRECT("'"&amp;G$4&amp;"'!$B$4:$H$83")),7,FALSE),"")))</f>
        <v/>
      </c>
      <c r="H47" s="35" t="str">
        <f ca="1">IF($D47="","",(IF(COUNTIF((INDIRECT("'"&amp;H$4&amp;"'!$B$4:$B$83")),CONCATENATE("*",$D47,"*"))=1,VLOOKUP(CONCATENATE("*",$D47,"*"),(INDIRECT("'"&amp;H$4&amp;"'!$B$4:$H$83")),7,FALSE),"")))</f>
        <v/>
      </c>
      <c r="I47" s="35" t="str">
        <f ca="1">IF($D47="","",(IF(COUNTIF((INDIRECT("'"&amp;I$4&amp;"'!$B$4:$B$83")),CONCATENATE("*",$D47,"*"))=1,VLOOKUP(CONCATENATE("*",$D47,"*"),(INDIRECT("'"&amp;I$4&amp;"'!$B$4:$H$83")),7,FALSE),"")))</f>
        <v/>
      </c>
      <c r="J47" s="35" t="str">
        <f ca="1">IF($D47="","",(IF(COUNTIF((INDIRECT("'"&amp;J$4&amp;"'!$B$4:$B$83")),CONCATENATE("*",$D47,"*"))=1,VLOOKUP(CONCATENATE("*",$D47,"*"),(INDIRECT("'"&amp;J$4&amp;"'!$B$4:$H$83")),7,FALSE),"")))</f>
        <v/>
      </c>
      <c r="K47" s="35" t="str">
        <f ca="1">IF($D47="","",(IF(COUNTIF((INDIRECT("'"&amp;K$4&amp;"'!$B$4:$B$83")),CONCATENATE("*",$D47,"*"))=1,VLOOKUP(CONCATENATE("*",$D47,"*"),(INDIRECT("'"&amp;K$4&amp;"'!$B$4:$H$83")),7,FALSE),"")))</f>
        <v/>
      </c>
      <c r="L47" s="35" t="str">
        <f ca="1">IF($D47="","",(IF(COUNTIF((INDIRECT("'"&amp;L$4&amp;"'!$B$4:$B$83")),CONCATENATE("*",$D47,"*"))=1,VLOOKUP(CONCATENATE("*",$D47,"*"),(INDIRECT("'"&amp;L$4&amp;"'!$B$4:$H$83")),7,FALSE),"")))</f>
        <v/>
      </c>
      <c r="M47" s="35" t="str">
        <f ca="1">IF($D47="","",(IF(COUNTIF((INDIRECT("'"&amp;M$4&amp;"'!$B$4:$B$83")),CONCATENATE("*",$D47,"*"))=1,VLOOKUP(CONCATENATE("*",$D47,"*"),(INDIRECT("'"&amp;M$4&amp;"'!$B$4:$H$83")),7,FALSE),"")))</f>
        <v/>
      </c>
      <c r="N47" s="31" t="str">
        <f>IF(O47&lt;&gt;"",MAX(F47:M47),"")</f>
        <v/>
      </c>
      <c r="O47" s="32"/>
      <c r="P47" s="32">
        <f ca="1">COUNTIF(F47:M47,"&gt;0")</f>
        <v>1</v>
      </c>
      <c r="Q47" s="37">
        <f t="array" aca="1" ref="Q47" ca="1">IF(COUNT(F47:N47)&gt;5,SUM(LARGE(F47:N47,{1,2,3,4,5})),SUM(F47:N47))</f>
        <v>38</v>
      </c>
    </row>
    <row r="48" spans="2:17" x14ac:dyDescent="0.35">
      <c r="B48" s="33">
        <f ca="1">IF(D48="","",RANK(Q48,$Q$5:$Q$91,0))</f>
        <v>43</v>
      </c>
      <c r="C48" s="32" cm="1">
        <f t="array" aca="1" ref="C48" ca="1">IF(E48="F",SUMPRODUCT(($E$5:$E$91=E48)*(Q48&lt;$Q$5:$Q$91))+1,"")</f>
        <v>12</v>
      </c>
      <c r="D48" s="39" t="s">
        <v>99</v>
      </c>
      <c r="E48" s="31" t="s">
        <v>49</v>
      </c>
      <c r="F48" s="35" t="str">
        <f ca="1">IF($D48="","",(IF(COUNTIF((INDIRECT("'"&amp;F$4&amp;"'!$B$4:$B$83")),CONCATENATE("*",$D48,"*"))=1,VLOOKUP(CONCATENATE("*",$D48,"*"),(INDIRECT("'"&amp;F$4&amp;"'!$B$4:$H$83")),7,FALSE),"")))</f>
        <v/>
      </c>
      <c r="G48" s="35" t="str">
        <f ca="1">IF($D48="","",(IF(COUNTIF((INDIRECT("'"&amp;G$4&amp;"'!$B$4:$B$83")),CONCATENATE("*",$D48,"*"))=1,VLOOKUP(CONCATENATE("*",$D48,"*"),(INDIRECT("'"&amp;G$4&amp;"'!$B$4:$H$83")),7,FALSE),"")))</f>
        <v/>
      </c>
      <c r="H48" s="35">
        <f ca="1">IF($D48="","",(IF(COUNTIF((INDIRECT("'"&amp;H$4&amp;"'!$B$4:$B$83")),CONCATENATE("*",$D48,"*"))=1,VLOOKUP(CONCATENATE("*",$D48,"*"),(INDIRECT("'"&amp;H$4&amp;"'!$B$4:$H$83")),7,FALSE),"")))</f>
        <v>38</v>
      </c>
      <c r="I48" s="35" t="str">
        <f ca="1">IF($D48="","",(IF(COUNTIF((INDIRECT("'"&amp;I$4&amp;"'!$B$4:$B$83")),CONCATENATE("*",$D48,"*"))=1,VLOOKUP(CONCATENATE("*",$D48,"*"),(INDIRECT("'"&amp;I$4&amp;"'!$B$4:$H$83")),7,FALSE),"")))</f>
        <v/>
      </c>
      <c r="J48" s="35" t="str">
        <f ca="1">IF($D48="","",(IF(COUNTIF((INDIRECT("'"&amp;J$4&amp;"'!$B$4:$B$83")),CONCATENATE("*",$D48,"*"))=1,VLOOKUP(CONCATENATE("*",$D48,"*"),(INDIRECT("'"&amp;J$4&amp;"'!$B$4:$H$83")),7,FALSE),"")))</f>
        <v/>
      </c>
      <c r="K48" s="35" t="str">
        <f ca="1">IF($D48="","",(IF(COUNTIF((INDIRECT("'"&amp;K$4&amp;"'!$B$4:$B$83")),CONCATENATE("*",$D48,"*"))=1,VLOOKUP(CONCATENATE("*",$D48,"*"),(INDIRECT("'"&amp;K$4&amp;"'!$B$4:$H$83")),7,FALSE),"")))</f>
        <v/>
      </c>
      <c r="L48" s="35" t="str">
        <f ca="1">IF($D48="","",(IF(COUNTIF((INDIRECT("'"&amp;L$4&amp;"'!$B$4:$B$83")),CONCATENATE("*",$D48,"*"))=1,VLOOKUP(CONCATENATE("*",$D48,"*"),(INDIRECT("'"&amp;L$4&amp;"'!$B$4:$H$83")),7,FALSE),"")))</f>
        <v/>
      </c>
      <c r="M48" s="35" t="str">
        <f ca="1">IF($D48="","",(IF(COUNTIF((INDIRECT("'"&amp;M$4&amp;"'!$B$4:$B$83")),CONCATENATE("*",$D48,"*"))=1,VLOOKUP(CONCATENATE("*",$D48,"*"),(INDIRECT("'"&amp;M$4&amp;"'!$B$4:$H$83")),7,FALSE),"")))</f>
        <v/>
      </c>
      <c r="N48" s="31" t="str">
        <f>IF(O48&lt;&gt;"",MAX(F48:M48),"")</f>
        <v/>
      </c>
      <c r="O48" s="32"/>
      <c r="P48" s="32">
        <f ca="1">COUNTIF(F48:M48,"&gt;0")</f>
        <v>1</v>
      </c>
      <c r="Q48" s="37">
        <f t="array" aca="1" ref="Q48" ca="1">IF(COUNT(F48:N48)&gt;5,SUM(LARGE(F48:N48,{1,2,3,4,5})),SUM(F48:N48))</f>
        <v>38</v>
      </c>
    </row>
    <row r="49" spans="2:17" x14ac:dyDescent="0.35">
      <c r="B49" s="33">
        <f ca="1">IF(D49="","",RANK(Q49,$Q$5:$Q$91,0))</f>
        <v>43</v>
      </c>
      <c r="C49" s="32" cm="1">
        <f t="array" aca="1" ref="C49" ca="1">IF(E49="F",SUMPRODUCT(($E$5:$E$91=E49)*(Q49&lt;$Q$5:$Q$91))+1,"")</f>
        <v>12</v>
      </c>
      <c r="D49" s="30" t="s">
        <v>90</v>
      </c>
      <c r="E49" s="31" t="s">
        <v>49</v>
      </c>
      <c r="F49" s="35" t="str">
        <f ca="1">IF($D49="","",(IF(COUNTIF((INDIRECT("'"&amp;F$4&amp;"'!$B$4:$B$83")),CONCATENATE("*",$D49,"*"))=1,VLOOKUP(CONCATENATE("*",$D49,"*"),(INDIRECT("'"&amp;F$4&amp;"'!$B$4:$H$83")),7,FALSE),"")))</f>
        <v/>
      </c>
      <c r="G49" s="35">
        <f ca="1">IF($D49="","",(IF(COUNTIF((INDIRECT("'"&amp;G$4&amp;"'!$B$4:$B$83")),CONCATENATE("*",$D49,"*"))=1,VLOOKUP(CONCATENATE("*",$D49,"*"),(INDIRECT("'"&amp;G$4&amp;"'!$B$4:$H$83")),7,FALSE),"")))</f>
        <v>16</v>
      </c>
      <c r="H49" s="35">
        <f ca="1">IF($D49="","",(IF(COUNTIF((INDIRECT("'"&amp;H$4&amp;"'!$B$4:$B$83")),CONCATENATE("*",$D49,"*"))=1,VLOOKUP(CONCATENATE("*",$D49,"*"),(INDIRECT("'"&amp;H$4&amp;"'!$B$4:$H$83")),7,FALSE),"")))</f>
        <v>10</v>
      </c>
      <c r="I49" s="35">
        <f ca="1">IF($D49="","",(IF(COUNTIF((INDIRECT("'"&amp;I$4&amp;"'!$B$4:$B$83")),CONCATENATE("*",$D49,"*"))=1,VLOOKUP(CONCATENATE("*",$D49,"*"),(INDIRECT("'"&amp;I$4&amp;"'!$B$4:$H$83")),7,FALSE),"")))</f>
        <v>12</v>
      </c>
      <c r="J49" s="35" t="str">
        <f ca="1">IF($D49="","",(IF(COUNTIF((INDIRECT("'"&amp;J$4&amp;"'!$B$4:$B$83")),CONCATENATE("*",$D49,"*"))=1,VLOOKUP(CONCATENATE("*",$D49,"*"),(INDIRECT("'"&amp;J$4&amp;"'!$B$4:$H$83")),7,FALSE),"")))</f>
        <v/>
      </c>
      <c r="K49" s="35" t="str">
        <f ca="1">IF($D49="","",(IF(COUNTIF((INDIRECT("'"&amp;K$4&amp;"'!$B$4:$B$83")),CONCATENATE("*",$D49,"*"))=1,VLOOKUP(CONCATENATE("*",$D49,"*"),(INDIRECT("'"&amp;K$4&amp;"'!$B$4:$H$83")),7,FALSE),"")))</f>
        <v/>
      </c>
      <c r="L49" s="35" t="str">
        <f ca="1">IF($D49="","",(IF(COUNTIF((INDIRECT("'"&amp;L$4&amp;"'!$B$4:$B$83")),CONCATENATE("*",$D49,"*"))=1,VLOOKUP(CONCATENATE("*",$D49,"*"),(INDIRECT("'"&amp;L$4&amp;"'!$B$4:$H$83")),7,FALSE),"")))</f>
        <v/>
      </c>
      <c r="M49" s="35" t="str">
        <f ca="1">IF($D49="","",(IF(COUNTIF((INDIRECT("'"&amp;M$4&amp;"'!$B$4:$B$83")),CONCATENATE("*",$D49,"*"))=1,VLOOKUP(CONCATENATE("*",$D49,"*"),(INDIRECT("'"&amp;M$4&amp;"'!$B$4:$H$83")),7,FALSE),"")))</f>
        <v/>
      </c>
      <c r="N49" s="31" t="str">
        <f>IF(O49&lt;&gt;"",MAX(F49:M49),"")</f>
        <v/>
      </c>
      <c r="O49" s="32"/>
      <c r="P49" s="32">
        <f ca="1">COUNTIF(F49:M49,"&gt;0")</f>
        <v>3</v>
      </c>
      <c r="Q49" s="37">
        <f t="array" aca="1" ref="Q49" ca="1">IF(COUNT(F49:N49)&gt;5,SUM(LARGE(F49:N49,{1,2,3,4,5})),SUM(F49:N49))</f>
        <v>38</v>
      </c>
    </row>
    <row r="50" spans="2:17" x14ac:dyDescent="0.35">
      <c r="B50" s="33">
        <f ca="1">IF(D50="","",RANK(Q50,$Q$5:$Q$91,0))</f>
        <v>46</v>
      </c>
      <c r="C50" s="32" cm="1">
        <f t="array" aca="1" ref="C50" ca="1">IF(E50="F",SUMPRODUCT(($E$5:$E$91=E50)*(Q50&lt;$Q$5:$Q$91))+1,"")</f>
        <v>14</v>
      </c>
      <c r="D50" s="30" t="s">
        <v>84</v>
      </c>
      <c r="E50" s="31" t="s">
        <v>49</v>
      </c>
      <c r="F50" s="35" t="str">
        <f ca="1">IF($D50="","",(IF(COUNTIF((INDIRECT("'"&amp;F$4&amp;"'!$B$4:$B$83")),CONCATENATE("*",$D50,"*"))=1,VLOOKUP(CONCATENATE("*",$D50,"*"),(INDIRECT("'"&amp;F$4&amp;"'!$B$4:$H$83")),7,FALSE),"")))</f>
        <v/>
      </c>
      <c r="G50" s="35">
        <f ca="1">IF($D50="","",(IF(COUNTIF((INDIRECT("'"&amp;G$4&amp;"'!$B$4:$B$83")),CONCATENATE("*",$D50,"*"))=1,VLOOKUP(CONCATENATE("*",$D50,"*"),(INDIRECT("'"&amp;G$4&amp;"'!$B$4:$H$83")),7,FALSE),"")))</f>
        <v>32</v>
      </c>
      <c r="H50" s="35" t="str">
        <f ca="1">IF($D50="","",(IF(COUNTIF((INDIRECT("'"&amp;H$4&amp;"'!$B$4:$B$83")),CONCATENATE("*",$D50,"*"))=1,VLOOKUP(CONCATENATE("*",$D50,"*"),(INDIRECT("'"&amp;H$4&amp;"'!$B$4:$H$83")),7,FALSE),"")))</f>
        <v/>
      </c>
      <c r="I50" s="35">
        <f ca="1">IF($D50="","",(IF(COUNTIF((INDIRECT("'"&amp;I$4&amp;"'!$B$4:$B$83")),CONCATENATE("*",$D50,"*"))=1,VLOOKUP(CONCATENATE("*",$D50,"*"),(INDIRECT("'"&amp;I$4&amp;"'!$B$4:$H$83")),7,FALSE),"")))</f>
        <v>5</v>
      </c>
      <c r="J50" s="35" t="str">
        <f ca="1">IF($D50="","",(IF(COUNTIF((INDIRECT("'"&amp;J$4&amp;"'!$B$4:$B$83")),CONCATENATE("*",$D50,"*"))=1,VLOOKUP(CONCATENATE("*",$D50,"*"),(INDIRECT("'"&amp;J$4&amp;"'!$B$4:$H$83")),7,FALSE),"")))</f>
        <v/>
      </c>
      <c r="K50" s="35" t="str">
        <f ca="1">IF($D50="","",(IF(COUNTIF((INDIRECT("'"&amp;K$4&amp;"'!$B$4:$B$83")),CONCATENATE("*",$D50,"*"))=1,VLOOKUP(CONCATENATE("*",$D50,"*"),(INDIRECT("'"&amp;K$4&amp;"'!$B$4:$H$83")),7,FALSE),"")))</f>
        <v/>
      </c>
      <c r="L50" s="35" t="str">
        <f ca="1">IF($D50="","",(IF(COUNTIF((INDIRECT("'"&amp;L$4&amp;"'!$B$4:$B$83")),CONCATENATE("*",$D50,"*"))=1,VLOOKUP(CONCATENATE("*",$D50,"*"),(INDIRECT("'"&amp;L$4&amp;"'!$B$4:$H$83")),7,FALSE),"")))</f>
        <v/>
      </c>
      <c r="M50" s="35" t="str">
        <f ca="1">IF($D50="","",(IF(COUNTIF((INDIRECT("'"&amp;M$4&amp;"'!$B$4:$B$83")),CONCATENATE("*",$D50,"*"))=1,VLOOKUP(CONCATENATE("*",$D50,"*"),(INDIRECT("'"&amp;M$4&amp;"'!$B$4:$H$83")),7,FALSE),"")))</f>
        <v/>
      </c>
      <c r="N50" s="31" t="str">
        <f>IF(O50&lt;&gt;"",MAX(F50:M50),"")</f>
        <v/>
      </c>
      <c r="O50" s="32"/>
      <c r="P50" s="32">
        <f ca="1">COUNTIF(F50:M50,"&gt;0")</f>
        <v>2</v>
      </c>
      <c r="Q50" s="37">
        <f t="array" aca="1" ref="Q50" ca="1">IF(COUNT(F50:N50)&gt;5,SUM(LARGE(F50:N50,{1,2,3,4,5})),SUM(F50:N50))</f>
        <v>37</v>
      </c>
    </row>
    <row r="51" spans="2:17" x14ac:dyDescent="0.35">
      <c r="B51" s="33">
        <f ca="1">IF(D51="","",RANK(Q51,$Q$5:$Q$91,0))</f>
        <v>47</v>
      </c>
      <c r="C51" s="32" t="str" cm="1">
        <f t="array" ref="C51">IF(E51="F",SUMPRODUCT(($E$5:$E$91=E51)*(Q51&lt;$Q$5:$Q$91))+1,"")</f>
        <v/>
      </c>
      <c r="D51" s="30" t="s">
        <v>13</v>
      </c>
      <c r="E51" s="31"/>
      <c r="F51" s="35">
        <f ca="1">IF($D51="","",(IF(COUNTIF((INDIRECT("'"&amp;F$4&amp;"'!$B$4:$B$83")),CONCATENATE("*",$D51,"*"))=1,VLOOKUP(CONCATENATE("*",$D51,"*"),(INDIRECT("'"&amp;F$4&amp;"'!$B$4:$H$83")),7,FALSE),"")))</f>
        <v>36</v>
      </c>
      <c r="G51" s="35" t="str">
        <f ca="1">IF($D51="","",(IF(COUNTIF((INDIRECT("'"&amp;G$4&amp;"'!$B$4:$B$83")),CONCATENATE("*",$D51,"*"))=1,VLOOKUP(CONCATENATE("*",$D51,"*"),(INDIRECT("'"&amp;G$4&amp;"'!$B$4:$H$83")),7,FALSE),"")))</f>
        <v/>
      </c>
      <c r="H51" s="35" t="str">
        <f ca="1">IF($D51="","",(IF(COUNTIF((INDIRECT("'"&amp;H$4&amp;"'!$B$4:$B$83")),CONCATENATE("*",$D51,"*"))=1,VLOOKUP(CONCATENATE("*",$D51,"*"),(INDIRECT("'"&amp;H$4&amp;"'!$B$4:$H$83")),7,FALSE),"")))</f>
        <v/>
      </c>
      <c r="I51" s="35" t="str">
        <f ca="1">IF($D51="","",(IF(COUNTIF((INDIRECT("'"&amp;I$4&amp;"'!$B$4:$B$83")),CONCATENATE("*",$D51,"*"))=1,VLOOKUP(CONCATENATE("*",$D51,"*"),(INDIRECT("'"&amp;I$4&amp;"'!$B$4:$H$83")),7,FALSE),"")))</f>
        <v/>
      </c>
      <c r="J51" s="35" t="str">
        <f ca="1">IF($D51="","",(IF(COUNTIF((INDIRECT("'"&amp;J$4&amp;"'!$B$4:$B$83")),CONCATENATE("*",$D51,"*"))=1,VLOOKUP(CONCATENATE("*",$D51,"*"),(INDIRECT("'"&amp;J$4&amp;"'!$B$4:$H$83")),7,FALSE),"")))</f>
        <v/>
      </c>
      <c r="K51" s="35" t="str">
        <f ca="1">IF($D51="","",(IF(COUNTIF((INDIRECT("'"&amp;K$4&amp;"'!$B$4:$B$83")),CONCATENATE("*",$D51,"*"))=1,VLOOKUP(CONCATENATE("*",$D51,"*"),(INDIRECT("'"&amp;K$4&amp;"'!$B$4:$H$83")),7,FALSE),"")))</f>
        <v/>
      </c>
      <c r="L51" s="35" t="str">
        <f ca="1">IF($D51="","",(IF(COUNTIF((INDIRECT("'"&amp;L$4&amp;"'!$B$4:$B$83")),CONCATENATE("*",$D51,"*"))=1,VLOOKUP(CONCATENATE("*",$D51,"*"),(INDIRECT("'"&amp;L$4&amp;"'!$B$4:$H$83")),7,FALSE),"")))</f>
        <v/>
      </c>
      <c r="M51" s="35" t="str">
        <f ca="1">IF($D51="","",(IF(COUNTIF((INDIRECT("'"&amp;M$4&amp;"'!$B$4:$B$83")),CONCATENATE("*",$D51,"*"))=1,VLOOKUP(CONCATENATE("*",$D51,"*"),(INDIRECT("'"&amp;M$4&amp;"'!$B$4:$H$83")),7,FALSE),"")))</f>
        <v/>
      </c>
      <c r="N51" s="31" t="str">
        <f>IF(O51&lt;&gt;"",MAX(F51:M51),"")</f>
        <v/>
      </c>
      <c r="O51" s="32"/>
      <c r="P51" s="32">
        <f ca="1">COUNTIF(F51:M51,"&gt;0")</f>
        <v>1</v>
      </c>
      <c r="Q51" s="37">
        <f t="array" aca="1" ref="Q51" ca="1">IF(COUNT(F51:N51)&gt;5,SUM(LARGE(F51:N51,{1,2,3,4,5})),SUM(F51:N51))</f>
        <v>36</v>
      </c>
    </row>
    <row r="52" spans="2:17" x14ac:dyDescent="0.35">
      <c r="B52" s="33">
        <f ca="1">IF(D52="","",RANK(Q52,$Q$5:$Q$91,0))</f>
        <v>48</v>
      </c>
      <c r="C52" s="32" cm="1">
        <f t="array" aca="1" ref="C52" ca="1">IF(E52="F",SUMPRODUCT(($E$5:$E$91=E52)*(Q52&lt;$Q$5:$Q$91))+1,"")</f>
        <v>15</v>
      </c>
      <c r="D52" s="30" t="s">
        <v>100</v>
      </c>
      <c r="E52" s="31" t="s">
        <v>49</v>
      </c>
      <c r="F52" s="35" t="str">
        <f ca="1">IF($D52="","",(IF(COUNTIF((INDIRECT("'"&amp;F$4&amp;"'!$B$4:$B$83")),CONCATENATE("*",$D52,"*"))=1,VLOOKUP(CONCATENATE("*",$D52,"*"),(INDIRECT("'"&amp;F$4&amp;"'!$B$4:$H$83")),7,FALSE),"")))</f>
        <v/>
      </c>
      <c r="G52" s="35" t="str">
        <f ca="1">IF($D52="","",(IF(COUNTIF((INDIRECT("'"&amp;G$4&amp;"'!$B$4:$B$83")),CONCATENATE("*",$D52,"*"))=1,VLOOKUP(CONCATENATE("*",$D52,"*"),(INDIRECT("'"&amp;G$4&amp;"'!$B$4:$H$83")),7,FALSE),"")))</f>
        <v/>
      </c>
      <c r="H52" s="35">
        <f ca="1">IF($D52="","",(IF(COUNTIF((INDIRECT("'"&amp;H$4&amp;"'!$B$4:$B$83")),CONCATENATE("*",$D52,"*"))=1,VLOOKUP(CONCATENATE("*",$D52,"*"),(INDIRECT("'"&amp;H$4&amp;"'!$B$4:$H$83")),7,FALSE),"")))</f>
        <v>35</v>
      </c>
      <c r="I52" s="35" t="str">
        <f ca="1">IF($D52="","",(IF(COUNTIF((INDIRECT("'"&amp;I$4&amp;"'!$B$4:$B$83")),CONCATENATE("*",$D52,"*"))=1,VLOOKUP(CONCATENATE("*",$D52,"*"),(INDIRECT("'"&amp;I$4&amp;"'!$B$4:$H$83")),7,FALSE),"")))</f>
        <v/>
      </c>
      <c r="J52" s="35" t="str">
        <f ca="1">IF($D52="","",(IF(COUNTIF((INDIRECT("'"&amp;J$4&amp;"'!$B$4:$B$83")),CONCATENATE("*",$D52,"*"))=1,VLOOKUP(CONCATENATE("*",$D52,"*"),(INDIRECT("'"&amp;J$4&amp;"'!$B$4:$H$83")),7,FALSE),"")))</f>
        <v/>
      </c>
      <c r="K52" s="35" t="str">
        <f ca="1">IF($D52="","",(IF(COUNTIF((INDIRECT("'"&amp;K$4&amp;"'!$B$4:$B$83")),CONCATENATE("*",$D52,"*"))=1,VLOOKUP(CONCATENATE("*",$D52,"*"),(INDIRECT("'"&amp;K$4&amp;"'!$B$4:$H$83")),7,FALSE),"")))</f>
        <v/>
      </c>
      <c r="L52" s="35" t="str">
        <f ca="1">IF($D52="","",(IF(COUNTIF((INDIRECT("'"&amp;L$4&amp;"'!$B$4:$B$83")),CONCATENATE("*",$D52,"*"))=1,VLOOKUP(CONCATENATE("*",$D52,"*"),(INDIRECT("'"&amp;L$4&amp;"'!$B$4:$H$83")),7,FALSE),"")))</f>
        <v/>
      </c>
      <c r="M52" s="35" t="str">
        <f ca="1">IF($D52="","",(IF(COUNTIF((INDIRECT("'"&amp;M$4&amp;"'!$B$4:$B$83")),CONCATENATE("*",$D52,"*"))=1,VLOOKUP(CONCATENATE("*",$D52,"*"),(INDIRECT("'"&amp;M$4&amp;"'!$B$4:$H$83")),7,FALSE),"")))</f>
        <v/>
      </c>
      <c r="N52" s="31" t="str">
        <f>IF(O52&lt;&gt;"",MAX(F52:M52),"")</f>
        <v/>
      </c>
      <c r="O52" s="32"/>
      <c r="P52" s="32">
        <f ca="1">COUNTIF(F52:M52,"&gt;0")</f>
        <v>1</v>
      </c>
      <c r="Q52" s="37">
        <f t="array" aca="1" ref="Q52" ca="1">IF(COUNT(F52:N52)&gt;5,SUM(LARGE(F52:N52,{1,2,3,4,5})),SUM(F52:N52))</f>
        <v>35</v>
      </c>
    </row>
    <row r="53" spans="2:17" x14ac:dyDescent="0.35">
      <c r="B53" s="33">
        <f ca="1">IF(D53="","",RANK(Q53,$Q$5:$Q$91,0))</f>
        <v>48</v>
      </c>
      <c r="C53" s="32" t="str" cm="1">
        <f t="array" ref="C53">IF(E53="F",SUMPRODUCT(($E$5:$E$91=E53)*(Q53&lt;$Q$5:$Q$91))+1,"")</f>
        <v/>
      </c>
      <c r="D53" s="30" t="s">
        <v>101</v>
      </c>
      <c r="E53" s="31"/>
      <c r="F53" s="35" t="str">
        <f ca="1">IF($D53="","",(IF(COUNTIF((INDIRECT("'"&amp;F$4&amp;"'!$B$4:$B$83")),CONCATENATE("*",$D53,"*"))=1,VLOOKUP(CONCATENATE("*",$D53,"*"),(INDIRECT("'"&amp;F$4&amp;"'!$B$4:$H$83")),7,FALSE),"")))</f>
        <v/>
      </c>
      <c r="G53" s="35" t="str">
        <f ca="1">IF($D53="","",(IF(COUNTIF((INDIRECT("'"&amp;G$4&amp;"'!$B$4:$B$83")),CONCATENATE("*",$D53,"*"))=1,VLOOKUP(CONCATENATE("*",$D53,"*"),(INDIRECT("'"&amp;G$4&amp;"'!$B$4:$H$83")),7,FALSE),"")))</f>
        <v/>
      </c>
      <c r="H53" s="35">
        <f ca="1">IF($D53="","",(IF(COUNTIF((INDIRECT("'"&amp;H$4&amp;"'!$B$4:$B$83")),CONCATENATE("*",$D53,"*"))=1,VLOOKUP(CONCATENATE("*",$D53,"*"),(INDIRECT("'"&amp;H$4&amp;"'!$B$4:$H$83")),7,FALSE),"")))</f>
        <v>35</v>
      </c>
      <c r="I53" s="35" t="str">
        <f ca="1">IF($D53="","",(IF(COUNTIF((INDIRECT("'"&amp;I$4&amp;"'!$B$4:$B$83")),CONCATENATE("*",$D53,"*"))=1,VLOOKUP(CONCATENATE("*",$D53,"*"),(INDIRECT("'"&amp;I$4&amp;"'!$B$4:$H$83")),7,FALSE),"")))</f>
        <v/>
      </c>
      <c r="J53" s="35" t="str">
        <f ca="1">IF($D53="","",(IF(COUNTIF((INDIRECT("'"&amp;J$4&amp;"'!$B$4:$B$83")),CONCATENATE("*",$D53,"*"))=1,VLOOKUP(CONCATENATE("*",$D53,"*"),(INDIRECT("'"&amp;J$4&amp;"'!$B$4:$H$83")),7,FALSE),"")))</f>
        <v/>
      </c>
      <c r="K53" s="35" t="str">
        <f ca="1">IF($D53="","",(IF(COUNTIF((INDIRECT("'"&amp;K$4&amp;"'!$B$4:$B$83")),CONCATENATE("*",$D53,"*"))=1,VLOOKUP(CONCATENATE("*",$D53,"*"),(INDIRECT("'"&amp;K$4&amp;"'!$B$4:$H$83")),7,FALSE),"")))</f>
        <v/>
      </c>
      <c r="L53" s="35" t="str">
        <f ca="1">IF($D53="","",(IF(COUNTIF((INDIRECT("'"&amp;L$4&amp;"'!$B$4:$B$83")),CONCATENATE("*",$D53,"*"))=1,VLOOKUP(CONCATENATE("*",$D53,"*"),(INDIRECT("'"&amp;L$4&amp;"'!$B$4:$H$83")),7,FALSE),"")))</f>
        <v/>
      </c>
      <c r="M53" s="35" t="str">
        <f ca="1">IF($D53="","",(IF(COUNTIF((INDIRECT("'"&amp;M$4&amp;"'!$B$4:$B$83")),CONCATENATE("*",$D53,"*"))=1,VLOOKUP(CONCATENATE("*",$D53,"*"),(INDIRECT("'"&amp;M$4&amp;"'!$B$4:$H$83")),7,FALSE),"")))</f>
        <v/>
      </c>
      <c r="N53" s="31" t="str">
        <f>IF(O53&lt;&gt;"",MAX(F53:M53),"")</f>
        <v/>
      </c>
      <c r="O53" s="32"/>
      <c r="P53" s="32">
        <f ca="1">COUNTIF(F53:M53,"&gt;0")</f>
        <v>1</v>
      </c>
      <c r="Q53" s="37">
        <f t="array" aca="1" ref="Q53" ca="1">IF(COUNT(F53:N53)&gt;5,SUM(LARGE(F53:N53,{1,2,3,4,5})),SUM(F53:N53))</f>
        <v>35</v>
      </c>
    </row>
    <row r="54" spans="2:17" x14ac:dyDescent="0.35">
      <c r="B54" s="33">
        <f ca="1">IF(D54="","",RANK(Q54,$Q$5:$Q$91,0))</f>
        <v>48</v>
      </c>
      <c r="C54" s="32" cm="1">
        <f t="array" aca="1" ref="C54" ca="1">IF(E54="F",SUMPRODUCT(($E$5:$E$91=E54)*(Q54&lt;$Q$5:$Q$91))+1,"")</f>
        <v>15</v>
      </c>
      <c r="D54" s="30" t="s">
        <v>19</v>
      </c>
      <c r="E54" s="31" t="s">
        <v>49</v>
      </c>
      <c r="F54" s="35">
        <f ca="1">IF($D54="","",(IF(COUNTIF((INDIRECT("'"&amp;F$4&amp;"'!$B$4:$B$83")),CONCATENATE("*",$D54,"*"))=1,VLOOKUP(CONCATENATE("*",$D54,"*"),(INDIRECT("'"&amp;F$4&amp;"'!$B$4:$H$83")),7,FALSE),"")))</f>
        <v>18</v>
      </c>
      <c r="G54" s="35" t="str">
        <f ca="1">IF($D54="","",(IF(COUNTIF((INDIRECT("'"&amp;G$4&amp;"'!$B$4:$B$83")),CONCATENATE("*",$D54,"*"))=1,VLOOKUP(CONCATENATE("*",$D54,"*"),(INDIRECT("'"&amp;G$4&amp;"'!$B$4:$H$83")),7,FALSE),"")))</f>
        <v/>
      </c>
      <c r="H54" s="35" t="str">
        <f ca="1">IF($D54="","",(IF(COUNTIF((INDIRECT("'"&amp;H$4&amp;"'!$B$4:$B$83")),CONCATENATE("*",$D54,"*"))=1,VLOOKUP(CONCATENATE("*",$D54,"*"),(INDIRECT("'"&amp;H$4&amp;"'!$B$4:$H$83")),7,FALSE),"")))</f>
        <v/>
      </c>
      <c r="I54" s="35">
        <f ca="1">IF($D54="","",(IF(COUNTIF((INDIRECT("'"&amp;I$4&amp;"'!$B$4:$B$83")),CONCATENATE("*",$D54,"*"))=1,VLOOKUP(CONCATENATE("*",$D54,"*"),(INDIRECT("'"&amp;I$4&amp;"'!$B$4:$H$83")),7,FALSE),"")))</f>
        <v>17</v>
      </c>
      <c r="J54" s="35" t="str">
        <f ca="1">IF($D54="","",(IF(COUNTIF((INDIRECT("'"&amp;J$4&amp;"'!$B$4:$B$83")),CONCATENATE("*",$D54,"*"))=1,VLOOKUP(CONCATENATE("*",$D54,"*"),(INDIRECT("'"&amp;J$4&amp;"'!$B$4:$H$83")),7,FALSE),"")))</f>
        <v/>
      </c>
      <c r="K54" s="35" t="str">
        <f ca="1">IF($D54="","",(IF(COUNTIF((INDIRECT("'"&amp;K$4&amp;"'!$B$4:$B$83")),CONCATENATE("*",$D54,"*"))=1,VLOOKUP(CONCATENATE("*",$D54,"*"),(INDIRECT("'"&amp;K$4&amp;"'!$B$4:$H$83")),7,FALSE),"")))</f>
        <v/>
      </c>
      <c r="L54" s="35" t="str">
        <f ca="1">IF($D54="","",(IF(COUNTIF((INDIRECT("'"&amp;L$4&amp;"'!$B$4:$B$83")),CONCATENATE("*",$D54,"*"))=1,VLOOKUP(CONCATENATE("*",$D54,"*"),(INDIRECT("'"&amp;L$4&amp;"'!$B$4:$H$83")),7,FALSE),"")))</f>
        <v/>
      </c>
      <c r="M54" s="35" t="str">
        <f ca="1">IF($D54="","",(IF(COUNTIF((INDIRECT("'"&amp;M$4&amp;"'!$B$4:$B$83")),CONCATENATE("*",$D54,"*"))=1,VLOOKUP(CONCATENATE("*",$D54,"*"),(INDIRECT("'"&amp;M$4&amp;"'!$B$4:$H$83")),7,FALSE),"")))</f>
        <v/>
      </c>
      <c r="N54" s="31" t="str">
        <f>IF(O54&lt;&gt;"",MAX(F54:M54),"")</f>
        <v/>
      </c>
      <c r="O54" s="32"/>
      <c r="P54" s="32">
        <f ca="1">COUNTIF(F54:M54,"&gt;0")</f>
        <v>2</v>
      </c>
      <c r="Q54" s="37">
        <f t="array" aca="1" ref="Q54" ca="1">IF(COUNT(F54:N54)&gt;5,SUM(LARGE(F54:N54,{1,2,3,4,5})),SUM(F54:N54))</f>
        <v>35</v>
      </c>
    </row>
    <row r="55" spans="2:17" x14ac:dyDescent="0.35">
      <c r="B55" s="33">
        <f ca="1">IF(D55="","",RANK(Q55,$Q$5:$Q$91,0))</f>
        <v>48</v>
      </c>
      <c r="C55" s="32" t="str" cm="1">
        <f t="array" ref="C55">IF(E55="F",SUMPRODUCT(($E$5:$E$91=E55)*(Q55&lt;$Q$5:$Q$91))+1,"")</f>
        <v/>
      </c>
      <c r="D55" s="30" t="s">
        <v>119</v>
      </c>
      <c r="E55" s="31"/>
      <c r="F55" s="35" t="str">
        <f ca="1">IF($D55="","",(IF(COUNTIF((INDIRECT("'"&amp;F$4&amp;"'!$B$4:$B$83")),CONCATENATE("*",$D55,"*"))=1,VLOOKUP(CONCATENATE("*",$D55,"*"),(INDIRECT("'"&amp;F$4&amp;"'!$B$4:$H$83")),7,FALSE),"")))</f>
        <v/>
      </c>
      <c r="G55" s="35" t="str">
        <f ca="1">IF($D55="","",(IF(COUNTIF((INDIRECT("'"&amp;G$4&amp;"'!$B$4:$B$83")),CONCATENATE("*",$D55,"*"))=1,VLOOKUP(CONCATENATE("*",$D55,"*"),(INDIRECT("'"&amp;G$4&amp;"'!$B$4:$H$83")),7,FALSE),"")))</f>
        <v/>
      </c>
      <c r="H55" s="35" t="str">
        <f ca="1">IF($D55="","",(IF(COUNTIF((INDIRECT("'"&amp;H$4&amp;"'!$B$4:$B$83")),CONCATENATE("*",$D55,"*"))=1,VLOOKUP(CONCATENATE("*",$D55,"*"),(INDIRECT("'"&amp;H$4&amp;"'!$B$4:$H$83")),7,FALSE),"")))</f>
        <v/>
      </c>
      <c r="I55" s="35">
        <f ca="1">IF($D55="","",(IF(COUNTIF((INDIRECT("'"&amp;I$4&amp;"'!$B$4:$B$83")),CONCATENATE("*",$D55,"*"))=1,VLOOKUP(CONCATENATE("*",$D55,"*"),(INDIRECT("'"&amp;I$4&amp;"'!$B$4:$H$83")),7,FALSE),"")))</f>
        <v>35</v>
      </c>
      <c r="J55" s="35" t="str">
        <f ca="1">IF($D55="","",(IF(COUNTIF((INDIRECT("'"&amp;J$4&amp;"'!$B$4:$B$83")),CONCATENATE("*",$D55,"*"))=1,VLOOKUP(CONCATENATE("*",$D55,"*"),(INDIRECT("'"&amp;J$4&amp;"'!$B$4:$H$83")),7,FALSE),"")))</f>
        <v/>
      </c>
      <c r="K55" s="35" t="str">
        <f ca="1">IF($D55="","",(IF(COUNTIF((INDIRECT("'"&amp;K$4&amp;"'!$B$4:$B$83")),CONCATENATE("*",$D55,"*"))=1,VLOOKUP(CONCATENATE("*",$D55,"*"),(INDIRECT("'"&amp;K$4&amp;"'!$B$4:$H$83")),7,FALSE),"")))</f>
        <v/>
      </c>
      <c r="L55" s="35" t="str">
        <f ca="1">IF($D55="","",(IF(COUNTIF((INDIRECT("'"&amp;L$4&amp;"'!$B$4:$B$83")),CONCATENATE("*",$D55,"*"))=1,VLOOKUP(CONCATENATE("*",$D55,"*"),(INDIRECT("'"&amp;L$4&amp;"'!$B$4:$H$83")),7,FALSE),"")))</f>
        <v/>
      </c>
      <c r="M55" s="35" t="str">
        <f ca="1">IF($D55="","",(IF(COUNTIF((INDIRECT("'"&amp;M$4&amp;"'!$B$4:$B$83")),CONCATENATE("*",$D55,"*"))=1,VLOOKUP(CONCATENATE("*",$D55,"*"),(INDIRECT("'"&amp;M$4&amp;"'!$B$4:$H$83")),7,FALSE),"")))</f>
        <v/>
      </c>
      <c r="N55" s="31" t="str">
        <f>IF(O55&lt;&gt;"",MAX(F55:M55),"")</f>
        <v/>
      </c>
      <c r="O55" s="32"/>
      <c r="P55" s="32">
        <f ca="1">COUNTIF(F55:M55,"&gt;0")</f>
        <v>1</v>
      </c>
      <c r="Q55" s="37">
        <f t="array" aca="1" ref="Q55" ca="1">IF(COUNT(F55:N55)&gt;5,SUM(LARGE(F55:N55,{1,2,3,4,5})),SUM(F55:N55))</f>
        <v>35</v>
      </c>
    </row>
    <row r="56" spans="2:17" x14ac:dyDescent="0.35">
      <c r="B56" s="33">
        <f ca="1">IF(D56="","",RANK(Q56,$Q$5:$Q$91,0))</f>
        <v>48</v>
      </c>
      <c r="C56" s="32" t="str" cm="1">
        <f t="array" ref="C56">IF(E56="F",SUMPRODUCT(($E$5:$E$91=E56)*(Q56&lt;$Q$5:$Q$91))+1,"")</f>
        <v/>
      </c>
      <c r="D56" s="30" t="s">
        <v>120</v>
      </c>
      <c r="E56" s="31"/>
      <c r="F56" s="35" t="str">
        <f ca="1">IF($D56="","",(IF(COUNTIF((INDIRECT("'"&amp;F$4&amp;"'!$B$4:$B$83")),CONCATENATE("*",$D56,"*"))=1,VLOOKUP(CONCATENATE("*",$D56,"*"),(INDIRECT("'"&amp;F$4&amp;"'!$B$4:$H$83")),7,FALSE),"")))</f>
        <v/>
      </c>
      <c r="G56" s="35" t="str">
        <f ca="1">IF($D56="","",(IF(COUNTIF((INDIRECT("'"&amp;G$4&amp;"'!$B$4:$B$83")),CONCATENATE("*",$D56,"*"))=1,VLOOKUP(CONCATENATE("*",$D56,"*"),(INDIRECT("'"&amp;G$4&amp;"'!$B$4:$H$83")),7,FALSE),"")))</f>
        <v/>
      </c>
      <c r="H56" s="35" t="str">
        <f ca="1">IF($D56="","",(IF(COUNTIF((INDIRECT("'"&amp;H$4&amp;"'!$B$4:$B$83")),CONCATENATE("*",$D56,"*"))=1,VLOOKUP(CONCATENATE("*",$D56,"*"),(INDIRECT("'"&amp;H$4&amp;"'!$B$4:$H$83")),7,FALSE),"")))</f>
        <v/>
      </c>
      <c r="I56" s="35">
        <f ca="1">IF($D56="","",(IF(COUNTIF((INDIRECT("'"&amp;I$4&amp;"'!$B$4:$B$83")),CONCATENATE("*",$D56,"*"))=1,VLOOKUP(CONCATENATE("*",$D56,"*"),(INDIRECT("'"&amp;I$4&amp;"'!$B$4:$H$83")),7,FALSE),"")))</f>
        <v>35</v>
      </c>
      <c r="J56" s="35" t="str">
        <f ca="1">IF($D56="","",(IF(COUNTIF((INDIRECT("'"&amp;J$4&amp;"'!$B$4:$B$83")),CONCATENATE("*",$D56,"*"))=1,VLOOKUP(CONCATENATE("*",$D56,"*"),(INDIRECT("'"&amp;J$4&amp;"'!$B$4:$H$83")),7,FALSE),"")))</f>
        <v/>
      </c>
      <c r="K56" s="35" t="str">
        <f ca="1">IF($D56="","",(IF(COUNTIF((INDIRECT("'"&amp;K$4&amp;"'!$B$4:$B$83")),CONCATENATE("*",$D56,"*"))=1,VLOOKUP(CONCATENATE("*",$D56,"*"),(INDIRECT("'"&amp;K$4&amp;"'!$B$4:$H$83")),7,FALSE),"")))</f>
        <v/>
      </c>
      <c r="L56" s="35" t="str">
        <f ca="1">IF($D56="","",(IF(COUNTIF((INDIRECT("'"&amp;L$4&amp;"'!$B$4:$B$83")),CONCATENATE("*",$D56,"*"))=1,VLOOKUP(CONCATENATE("*",$D56,"*"),(INDIRECT("'"&amp;L$4&amp;"'!$B$4:$H$83")),7,FALSE),"")))</f>
        <v/>
      </c>
      <c r="M56" s="35" t="str">
        <f ca="1">IF($D56="","",(IF(COUNTIF((INDIRECT("'"&amp;M$4&amp;"'!$B$4:$B$83")),CONCATENATE("*",$D56,"*"))=1,VLOOKUP(CONCATENATE("*",$D56,"*"),(INDIRECT("'"&amp;M$4&amp;"'!$B$4:$H$83")),7,FALSE),"")))</f>
        <v/>
      </c>
      <c r="N56" s="31" t="str">
        <f>IF(O56&lt;&gt;"",MAX(F56:M56),"")</f>
        <v/>
      </c>
      <c r="O56" s="32"/>
      <c r="P56" s="32">
        <f ca="1">COUNTIF(F56:M56,"&gt;0")</f>
        <v>1</v>
      </c>
      <c r="Q56" s="37">
        <f t="array" aca="1" ref="Q56" ca="1">IF(COUNT(F56:N56)&gt;5,SUM(LARGE(F56:N56,{1,2,3,4,5})),SUM(F56:N56))</f>
        <v>35</v>
      </c>
    </row>
    <row r="57" spans="2:17" x14ac:dyDescent="0.35">
      <c r="B57" s="33">
        <f ca="1">IF(D57="","",RANK(Q57,$Q$5:$Q$91,0))</f>
        <v>53</v>
      </c>
      <c r="C57" s="32" t="str" cm="1">
        <f t="array" ref="C57">IF(E57="F",SUMPRODUCT(($E$5:$E$91=E57)*(Q57&lt;$Q$5:$Q$91))+1,"")</f>
        <v/>
      </c>
      <c r="D57" s="30" t="s">
        <v>63</v>
      </c>
      <c r="E57" s="31"/>
      <c r="F57" s="35">
        <f ca="1">IF($D57="","",(IF(COUNTIF((INDIRECT("'"&amp;F$4&amp;"'!$B$4:$B$83")),CONCATENATE("*",$D57,"*"))=1,VLOOKUP(CONCATENATE("*",$D57,"*"),(INDIRECT("'"&amp;F$4&amp;"'!$B$4:$H$83")),7,FALSE),"")))</f>
        <v>34</v>
      </c>
      <c r="G57" s="35" t="str">
        <f ca="1">IF($D57="","",(IF(COUNTIF((INDIRECT("'"&amp;G$4&amp;"'!$B$4:$B$83")),CONCATENATE("*",$D57,"*"))=1,VLOOKUP(CONCATENATE("*",$D57,"*"),(INDIRECT("'"&amp;G$4&amp;"'!$B$4:$H$83")),7,FALSE),"")))</f>
        <v/>
      </c>
      <c r="H57" s="35" t="str">
        <f ca="1">IF($D57="","",(IF(COUNTIF((INDIRECT("'"&amp;H$4&amp;"'!$B$4:$B$83")),CONCATENATE("*",$D57,"*"))=1,VLOOKUP(CONCATENATE("*",$D57,"*"),(INDIRECT("'"&amp;H$4&amp;"'!$B$4:$H$83")),7,FALSE),"")))</f>
        <v/>
      </c>
      <c r="I57" s="35" t="str">
        <f ca="1">IF($D57="","",(IF(COUNTIF((INDIRECT("'"&amp;I$4&amp;"'!$B$4:$B$83")),CONCATENATE("*",$D57,"*"))=1,VLOOKUP(CONCATENATE("*",$D57,"*"),(INDIRECT("'"&amp;I$4&amp;"'!$B$4:$H$83")),7,FALSE),"")))</f>
        <v/>
      </c>
      <c r="J57" s="35" t="str">
        <f ca="1">IF($D57="","",(IF(COUNTIF((INDIRECT("'"&amp;J$4&amp;"'!$B$4:$B$83")),CONCATENATE("*",$D57,"*"))=1,VLOOKUP(CONCATENATE("*",$D57,"*"),(INDIRECT("'"&amp;J$4&amp;"'!$B$4:$H$83")),7,FALSE),"")))</f>
        <v/>
      </c>
      <c r="K57" s="35" t="str">
        <f ca="1">IF($D57="","",(IF(COUNTIF((INDIRECT("'"&amp;K$4&amp;"'!$B$4:$B$83")),CONCATENATE("*",$D57,"*"))=1,VLOOKUP(CONCATENATE("*",$D57,"*"),(INDIRECT("'"&amp;K$4&amp;"'!$B$4:$H$83")),7,FALSE),"")))</f>
        <v/>
      </c>
      <c r="L57" s="35" t="str">
        <f ca="1">IF($D57="","",(IF(COUNTIF((INDIRECT("'"&amp;L$4&amp;"'!$B$4:$B$83")),CONCATENATE("*",$D57,"*"))=1,VLOOKUP(CONCATENATE("*",$D57,"*"),(INDIRECT("'"&amp;L$4&amp;"'!$B$4:$H$83")),7,FALSE),"")))</f>
        <v/>
      </c>
      <c r="M57" s="35" t="str">
        <f ca="1">IF($D57="","",(IF(COUNTIF((INDIRECT("'"&amp;M$4&amp;"'!$B$4:$B$83")),CONCATENATE("*",$D57,"*"))=1,VLOOKUP(CONCATENATE("*",$D57,"*"),(INDIRECT("'"&amp;M$4&amp;"'!$B$4:$H$83")),7,FALSE),"")))</f>
        <v/>
      </c>
      <c r="N57" s="31" t="str">
        <f>IF(O57&lt;&gt;"",MAX(F57:M57),"")</f>
        <v/>
      </c>
      <c r="O57" s="32"/>
      <c r="P57" s="32">
        <f ca="1">COUNTIF(F57:M57,"&gt;0")</f>
        <v>1</v>
      </c>
      <c r="Q57" s="37">
        <f t="array" aca="1" ref="Q57" ca="1">IF(COUNT(F57:N57)&gt;5,SUM(LARGE(F57:N57,{1,2,3,4,5})),SUM(F57:N57))</f>
        <v>34</v>
      </c>
    </row>
    <row r="58" spans="2:17" x14ac:dyDescent="0.35">
      <c r="B58" s="33">
        <f ca="1">IF(D58="","",RANK(Q58,$Q$5:$Q$91,0))</f>
        <v>53</v>
      </c>
      <c r="C58" s="32" t="str" cm="1">
        <f t="array" ref="C58">IF(E58="F",SUMPRODUCT(($E$5:$E$91=E58)*(Q58&lt;$Q$5:$Q$91))+1,"")</f>
        <v/>
      </c>
      <c r="D58" s="30" t="s">
        <v>82</v>
      </c>
      <c r="E58" s="31"/>
      <c r="F58" s="35" t="str">
        <f ca="1">IF($D58="","",(IF(COUNTIF((INDIRECT("'"&amp;F$4&amp;"'!$B$4:$B$83")),CONCATENATE("*",$D58,"*"))=1,VLOOKUP(CONCATENATE("*",$D58,"*"),(INDIRECT("'"&amp;F$4&amp;"'!$B$4:$H$83")),7,FALSE),"")))</f>
        <v/>
      </c>
      <c r="G58" s="35">
        <f ca="1">IF($D58="","",(IF(COUNTIF((INDIRECT("'"&amp;G$4&amp;"'!$B$4:$B$83")),CONCATENATE("*",$D58,"*"))=1,VLOOKUP(CONCATENATE("*",$D58,"*"),(INDIRECT("'"&amp;G$4&amp;"'!$B$4:$H$83")),7,FALSE),"")))</f>
        <v>34</v>
      </c>
      <c r="H58" s="35" t="str">
        <f ca="1">IF($D58="","",(IF(COUNTIF((INDIRECT("'"&amp;H$4&amp;"'!$B$4:$B$83")),CONCATENATE("*",$D58,"*"))=1,VLOOKUP(CONCATENATE("*",$D58,"*"),(INDIRECT("'"&amp;H$4&amp;"'!$B$4:$H$83")),7,FALSE),"")))</f>
        <v/>
      </c>
      <c r="I58" s="35" t="str">
        <f ca="1">IF($D58="","",(IF(COUNTIF((INDIRECT("'"&amp;I$4&amp;"'!$B$4:$B$83")),CONCATENATE("*",$D58,"*"))=1,VLOOKUP(CONCATENATE("*",$D58,"*"),(INDIRECT("'"&amp;I$4&amp;"'!$B$4:$H$83")),7,FALSE),"")))</f>
        <v/>
      </c>
      <c r="J58" s="35" t="str">
        <f ca="1">IF($D58="","",(IF(COUNTIF((INDIRECT("'"&amp;J$4&amp;"'!$B$4:$B$83")),CONCATENATE("*",$D58,"*"))=1,VLOOKUP(CONCATENATE("*",$D58,"*"),(INDIRECT("'"&amp;J$4&amp;"'!$B$4:$H$83")),7,FALSE),"")))</f>
        <v/>
      </c>
      <c r="K58" s="35" t="str">
        <f ca="1">IF($D58="","",(IF(COUNTIF((INDIRECT("'"&amp;K$4&amp;"'!$B$4:$B$83")),CONCATENATE("*",$D58,"*"))=1,VLOOKUP(CONCATENATE("*",$D58,"*"),(INDIRECT("'"&amp;K$4&amp;"'!$B$4:$H$83")),7,FALSE),"")))</f>
        <v/>
      </c>
      <c r="L58" s="35" t="str">
        <f ca="1">IF($D58="","",(IF(COUNTIF((INDIRECT("'"&amp;L$4&amp;"'!$B$4:$B$83")),CONCATENATE("*",$D58,"*"))=1,VLOOKUP(CONCATENATE("*",$D58,"*"),(INDIRECT("'"&amp;L$4&amp;"'!$B$4:$H$83")),7,FALSE),"")))</f>
        <v/>
      </c>
      <c r="M58" s="35" t="str">
        <f ca="1">IF($D58="","",(IF(COUNTIF((INDIRECT("'"&amp;M$4&amp;"'!$B$4:$B$83")),CONCATENATE("*",$D58,"*"))=1,VLOOKUP(CONCATENATE("*",$D58,"*"),(INDIRECT("'"&amp;M$4&amp;"'!$B$4:$H$83")),7,FALSE),"")))</f>
        <v/>
      </c>
      <c r="N58" s="31" t="str">
        <f>IF(O58&lt;&gt;"",MAX(F58:M58),"")</f>
        <v/>
      </c>
      <c r="O58" s="32"/>
      <c r="P58" s="32">
        <f ca="1">COUNTIF(F58:M58,"&gt;0")</f>
        <v>1</v>
      </c>
      <c r="Q58" s="37">
        <f t="array" aca="1" ref="Q58" ca="1">IF(COUNT(F58:N58)&gt;5,SUM(LARGE(F58:N58,{1,2,3,4,5})),SUM(F58:N58))</f>
        <v>34</v>
      </c>
    </row>
    <row r="59" spans="2:17" x14ac:dyDescent="0.35">
      <c r="B59" s="33">
        <f ca="1">IF(D59="","",RANK(Q59,$Q$5:$Q$91,0))</f>
        <v>55</v>
      </c>
      <c r="C59" s="32" t="str" cm="1">
        <f t="array" ref="C59">IF(E59="F",SUMPRODUCT(($E$5:$E$91=E59)*(Q59&lt;$Q$5:$Q$91))+1,"")</f>
        <v/>
      </c>
      <c r="D59" s="30" t="s">
        <v>102</v>
      </c>
      <c r="E59" s="31"/>
      <c r="F59" s="35" t="str">
        <f ca="1">IF($D59="","",(IF(COUNTIF((INDIRECT("'"&amp;F$4&amp;"'!$B$4:$B$83")),CONCATENATE("*",$D59,"*"))=1,VLOOKUP(CONCATENATE("*",$D59,"*"),(INDIRECT("'"&amp;F$4&amp;"'!$B$4:$H$83")),7,FALSE),"")))</f>
        <v/>
      </c>
      <c r="G59" s="35" t="str">
        <f ca="1">IF($D59="","",(IF(COUNTIF((INDIRECT("'"&amp;G$4&amp;"'!$B$4:$B$83")),CONCATENATE("*",$D59,"*"))=1,VLOOKUP(CONCATENATE("*",$D59,"*"),(INDIRECT("'"&amp;G$4&amp;"'!$B$4:$H$83")),7,FALSE),"")))</f>
        <v/>
      </c>
      <c r="H59" s="35">
        <f ca="1">IF($D59="","",(IF(COUNTIF((INDIRECT("'"&amp;H$4&amp;"'!$B$4:$B$83")),CONCATENATE("*",$D59,"*"))=1,VLOOKUP(CONCATENATE("*",$D59,"*"),(INDIRECT("'"&amp;H$4&amp;"'!$B$4:$H$83")),7,FALSE),"")))</f>
        <v>33</v>
      </c>
      <c r="I59" s="35" t="str">
        <f ca="1">IF($D59="","",(IF(COUNTIF((INDIRECT("'"&amp;I$4&amp;"'!$B$4:$B$83")),CONCATENATE("*",$D59,"*"))=1,VLOOKUP(CONCATENATE("*",$D59,"*"),(INDIRECT("'"&amp;I$4&amp;"'!$B$4:$H$83")),7,FALSE),"")))</f>
        <v/>
      </c>
      <c r="J59" s="35" t="str">
        <f ca="1">IF($D59="","",(IF(COUNTIF((INDIRECT("'"&amp;J$4&amp;"'!$B$4:$B$83")),CONCATENATE("*",$D59,"*"))=1,VLOOKUP(CONCATENATE("*",$D59,"*"),(INDIRECT("'"&amp;J$4&amp;"'!$B$4:$H$83")),7,FALSE),"")))</f>
        <v/>
      </c>
      <c r="K59" s="35" t="str">
        <f ca="1">IF($D59="","",(IF(COUNTIF((INDIRECT("'"&amp;K$4&amp;"'!$B$4:$B$83")),CONCATENATE("*",$D59,"*"))=1,VLOOKUP(CONCATENATE("*",$D59,"*"),(INDIRECT("'"&amp;K$4&amp;"'!$B$4:$H$83")),7,FALSE),"")))</f>
        <v/>
      </c>
      <c r="L59" s="35" t="str">
        <f ca="1">IF($D59="","",(IF(COUNTIF((INDIRECT("'"&amp;L$4&amp;"'!$B$4:$B$83")),CONCATENATE("*",$D59,"*"))=1,VLOOKUP(CONCATENATE("*",$D59,"*"),(INDIRECT("'"&amp;L$4&amp;"'!$B$4:$H$83")),7,FALSE),"")))</f>
        <v/>
      </c>
      <c r="M59" s="35" t="str">
        <f ca="1">IF($D59="","",(IF(COUNTIF((INDIRECT("'"&amp;M$4&amp;"'!$B$4:$B$83")),CONCATENATE("*",$D59,"*"))=1,VLOOKUP(CONCATENATE("*",$D59,"*"),(INDIRECT("'"&amp;M$4&amp;"'!$B$4:$H$83")),7,FALSE),"")))</f>
        <v/>
      </c>
      <c r="N59" s="31" t="str">
        <f>IF(O59&lt;&gt;"",MAX(F59:M59),"")</f>
        <v/>
      </c>
      <c r="O59" s="32"/>
      <c r="P59" s="32">
        <f ca="1">COUNTIF(F59:M59,"&gt;0")</f>
        <v>1</v>
      </c>
      <c r="Q59" s="37">
        <f t="array" aca="1" ref="Q59" ca="1">IF(COUNT(F59:N59)&gt;5,SUM(LARGE(F59:N59,{1,2,3,4,5})),SUM(F59:N59))</f>
        <v>33</v>
      </c>
    </row>
    <row r="60" spans="2:17" x14ac:dyDescent="0.35">
      <c r="B60" s="33">
        <f ca="1">IF(D60="","",RANK(Q60,$Q$5:$Q$91,0))</f>
        <v>55</v>
      </c>
      <c r="C60" s="32" t="str" cm="1">
        <f t="array" ref="C60">IF(E60="F",SUMPRODUCT(($E$5:$E$91=E60)*(Q60&lt;$Q$5:$Q$91))+1,"")</f>
        <v/>
      </c>
      <c r="D60" s="30" t="s">
        <v>121</v>
      </c>
      <c r="E60" s="31"/>
      <c r="F60" s="35" t="str">
        <f ca="1">IF($D60="","",(IF(COUNTIF((INDIRECT("'"&amp;F$4&amp;"'!$B$4:$B$83")),CONCATENATE("*",$D60,"*"))=1,VLOOKUP(CONCATENATE("*",$D60,"*"),(INDIRECT("'"&amp;F$4&amp;"'!$B$4:$H$83")),7,FALSE),"")))</f>
        <v/>
      </c>
      <c r="G60" s="35" t="str">
        <f ca="1">IF($D60="","",(IF(COUNTIF((INDIRECT("'"&amp;G$4&amp;"'!$B$4:$B$83")),CONCATENATE("*",$D60,"*"))=1,VLOOKUP(CONCATENATE("*",$D60,"*"),(INDIRECT("'"&amp;G$4&amp;"'!$B$4:$H$83")),7,FALSE),"")))</f>
        <v/>
      </c>
      <c r="H60" s="35" t="str">
        <f ca="1">IF($D60="","",(IF(COUNTIF((INDIRECT("'"&amp;H$4&amp;"'!$B$4:$B$83")),CONCATENATE("*",$D60,"*"))=1,VLOOKUP(CONCATENATE("*",$D60,"*"),(INDIRECT("'"&amp;H$4&amp;"'!$B$4:$H$83")),7,FALSE),"")))</f>
        <v/>
      </c>
      <c r="I60" s="35">
        <f ca="1">IF($D60="","",(IF(COUNTIF((INDIRECT("'"&amp;I$4&amp;"'!$B$4:$B$83")),CONCATENATE("*",$D60,"*"))=1,VLOOKUP(CONCATENATE("*",$D60,"*"),(INDIRECT("'"&amp;I$4&amp;"'!$B$4:$H$83")),7,FALSE),"")))</f>
        <v>33</v>
      </c>
      <c r="J60" s="35" t="str">
        <f ca="1">IF($D60="","",(IF(COUNTIF((INDIRECT("'"&amp;J$4&amp;"'!$B$4:$B$83")),CONCATENATE("*",$D60,"*"))=1,VLOOKUP(CONCATENATE("*",$D60,"*"),(INDIRECT("'"&amp;J$4&amp;"'!$B$4:$H$83")),7,FALSE),"")))</f>
        <v/>
      </c>
      <c r="K60" s="35" t="str">
        <f ca="1">IF($D60="","",(IF(COUNTIF((INDIRECT("'"&amp;K$4&amp;"'!$B$4:$B$83")),CONCATENATE("*",$D60,"*"))=1,VLOOKUP(CONCATENATE("*",$D60,"*"),(INDIRECT("'"&amp;K$4&amp;"'!$B$4:$H$83")),7,FALSE),"")))</f>
        <v/>
      </c>
      <c r="L60" s="35" t="str">
        <f ca="1">IF($D60="","",(IF(COUNTIF((INDIRECT("'"&amp;L$4&amp;"'!$B$4:$B$83")),CONCATENATE("*",$D60,"*"))=1,VLOOKUP(CONCATENATE("*",$D60,"*"),(INDIRECT("'"&amp;L$4&amp;"'!$B$4:$H$83")),7,FALSE),"")))</f>
        <v/>
      </c>
      <c r="M60" s="35" t="str">
        <f ca="1">IF($D60="","",(IF(COUNTIF((INDIRECT("'"&amp;M$4&amp;"'!$B$4:$B$83")),CONCATENATE("*",$D60,"*"))=1,VLOOKUP(CONCATENATE("*",$D60,"*"),(INDIRECT("'"&amp;M$4&amp;"'!$B$4:$H$83")),7,FALSE),"")))</f>
        <v/>
      </c>
      <c r="N60" s="31" t="str">
        <f>IF(O60&lt;&gt;"",MAX(F60:M60),"")</f>
        <v/>
      </c>
      <c r="O60" s="32"/>
      <c r="P60" s="32">
        <f ca="1">COUNTIF(F60:M60,"&gt;0")</f>
        <v>1</v>
      </c>
      <c r="Q60" s="37">
        <f t="array" aca="1" ref="Q60" ca="1">IF(COUNT(F60:N60)&gt;5,SUM(LARGE(F60:N60,{1,2,3,4,5})),SUM(F60:N60))</f>
        <v>33</v>
      </c>
    </row>
    <row r="61" spans="2:17" x14ac:dyDescent="0.35">
      <c r="B61" s="33">
        <f ca="1">IF(D61="","",RANK(Q61,$Q$5:$Q$91,0))</f>
        <v>57</v>
      </c>
      <c r="C61" s="32" t="str" cm="1">
        <f t="array" ref="C61">IF(E61="F",SUMPRODUCT(($E$5:$E$91=E61)*(Q61&lt;$Q$5:$Q$91))+1,"")</f>
        <v/>
      </c>
      <c r="D61" s="30" t="s">
        <v>103</v>
      </c>
      <c r="E61" s="31"/>
      <c r="F61" s="35" t="str">
        <f ca="1">IF($D61="","",(IF(COUNTIF((INDIRECT("'"&amp;F$4&amp;"'!$B$4:$B$83")),CONCATENATE("*",$D61,"*"))=1,VLOOKUP(CONCATENATE("*",$D61,"*"),(INDIRECT("'"&amp;F$4&amp;"'!$B$4:$H$83")),7,FALSE),"")))</f>
        <v/>
      </c>
      <c r="G61" s="35" t="str">
        <f ca="1">IF($D61="","",(IF(COUNTIF((INDIRECT("'"&amp;G$4&amp;"'!$B$4:$B$83")),CONCATENATE("*",$D61,"*"))=1,VLOOKUP(CONCATENATE("*",$D61,"*"),(INDIRECT("'"&amp;G$4&amp;"'!$B$4:$H$83")),7,FALSE),"")))</f>
        <v/>
      </c>
      <c r="H61" s="35">
        <f ca="1">IF($D61="","",(IF(COUNTIF((INDIRECT("'"&amp;H$4&amp;"'!$B$4:$B$83")),CONCATENATE("*",$D61,"*"))=1,VLOOKUP(CONCATENATE("*",$D61,"*"),(INDIRECT("'"&amp;H$4&amp;"'!$B$4:$H$83")),7,FALSE),"")))</f>
        <v>32</v>
      </c>
      <c r="I61" s="35" t="str">
        <f ca="1">IF($D61="","",(IF(COUNTIF((INDIRECT("'"&amp;I$4&amp;"'!$B$4:$B$83")),CONCATENATE("*",$D61,"*"))=1,VLOOKUP(CONCATENATE("*",$D61,"*"),(INDIRECT("'"&amp;I$4&amp;"'!$B$4:$H$83")),7,FALSE),"")))</f>
        <v/>
      </c>
      <c r="J61" s="35" t="str">
        <f ca="1">IF($D61="","",(IF(COUNTIF((INDIRECT("'"&amp;J$4&amp;"'!$B$4:$B$83")),CONCATENATE("*",$D61,"*"))=1,VLOOKUP(CONCATENATE("*",$D61,"*"),(INDIRECT("'"&amp;J$4&amp;"'!$B$4:$H$83")),7,FALSE),"")))</f>
        <v/>
      </c>
      <c r="K61" s="35" t="str">
        <f ca="1">IF($D61="","",(IF(COUNTIF((INDIRECT("'"&amp;K$4&amp;"'!$B$4:$B$83")),CONCATENATE("*",$D61,"*"))=1,VLOOKUP(CONCATENATE("*",$D61,"*"),(INDIRECT("'"&amp;K$4&amp;"'!$B$4:$H$83")),7,FALSE),"")))</f>
        <v/>
      </c>
      <c r="L61" s="35" t="str">
        <f ca="1">IF($D61="","",(IF(COUNTIF((INDIRECT("'"&amp;L$4&amp;"'!$B$4:$B$83")),CONCATENATE("*",$D61,"*"))=1,VLOOKUP(CONCATENATE("*",$D61,"*"),(INDIRECT("'"&amp;L$4&amp;"'!$B$4:$H$83")),7,FALSE),"")))</f>
        <v/>
      </c>
      <c r="M61" s="35" t="str">
        <f ca="1">IF($D61="","",(IF(COUNTIF((INDIRECT("'"&amp;M$4&amp;"'!$B$4:$B$83")),CONCATENATE("*",$D61,"*"))=1,VLOOKUP(CONCATENATE("*",$D61,"*"),(INDIRECT("'"&amp;M$4&amp;"'!$B$4:$H$83")),7,FALSE),"")))</f>
        <v/>
      </c>
      <c r="N61" s="31" t="str">
        <f>IF(O61&lt;&gt;"",MAX(F61:M61),"")</f>
        <v/>
      </c>
      <c r="O61" s="32"/>
      <c r="P61" s="32">
        <f ca="1">COUNTIF(F61:M61,"&gt;0")</f>
        <v>1</v>
      </c>
      <c r="Q61" s="37">
        <f t="array" aca="1" ref="Q61" ca="1">IF(COUNT(F61:N61)&gt;5,SUM(LARGE(F61:N61,{1,2,3,4,5})),SUM(F61:N61))</f>
        <v>32</v>
      </c>
    </row>
    <row r="62" spans="2:17" x14ac:dyDescent="0.35">
      <c r="B62" s="33">
        <f ca="1">IF(D62="","",RANK(Q62,$Q$5:$Q$91,0))</f>
        <v>58</v>
      </c>
      <c r="C62" s="32" t="str" cm="1">
        <f t="array" ref="C62">IF(E62="F",SUMPRODUCT(($E$5:$E$91=E62)*(Q62&lt;$Q$5:$Q$91))+1,"")</f>
        <v/>
      </c>
      <c r="D62" s="30" t="s">
        <v>104</v>
      </c>
      <c r="E62" s="31"/>
      <c r="F62" s="35" t="str">
        <f ca="1">IF($D62="","",(IF(COUNTIF((INDIRECT("'"&amp;F$4&amp;"'!$B$4:$B$83")),CONCATENATE("*",$D62,"*"))=1,VLOOKUP(CONCATENATE("*",$D62,"*"),(INDIRECT("'"&amp;F$4&amp;"'!$B$4:$H$83")),7,FALSE),"")))</f>
        <v/>
      </c>
      <c r="G62" s="35" t="str">
        <f ca="1">IF($D62="","",(IF(COUNTIF((INDIRECT("'"&amp;G$4&amp;"'!$B$4:$B$83")),CONCATENATE("*",$D62,"*"))=1,VLOOKUP(CONCATENATE("*",$D62,"*"),(INDIRECT("'"&amp;G$4&amp;"'!$B$4:$H$83")),7,FALSE),"")))</f>
        <v/>
      </c>
      <c r="H62" s="35">
        <f ca="1">IF($D62="","",(IF(COUNTIF((INDIRECT("'"&amp;H$4&amp;"'!$B$4:$B$83")),CONCATENATE("*",$D62,"*"))=1,VLOOKUP(CONCATENATE("*",$D62,"*"),(INDIRECT("'"&amp;H$4&amp;"'!$B$4:$H$83")),7,FALSE),"")))</f>
        <v>30</v>
      </c>
      <c r="I62" s="35" t="str">
        <f ca="1">IF($D62="","",(IF(COUNTIF((INDIRECT("'"&amp;I$4&amp;"'!$B$4:$B$83")),CONCATENATE("*",$D62,"*"))=1,VLOOKUP(CONCATENATE("*",$D62,"*"),(INDIRECT("'"&amp;I$4&amp;"'!$B$4:$H$83")),7,FALSE),"")))</f>
        <v/>
      </c>
      <c r="J62" s="35" t="str">
        <f ca="1">IF($D62="","",(IF(COUNTIF((INDIRECT("'"&amp;J$4&amp;"'!$B$4:$B$83")),CONCATENATE("*",$D62,"*"))=1,VLOOKUP(CONCATENATE("*",$D62,"*"),(INDIRECT("'"&amp;J$4&amp;"'!$B$4:$H$83")),7,FALSE),"")))</f>
        <v/>
      </c>
      <c r="K62" s="35" t="str">
        <f ca="1">IF($D62="","",(IF(COUNTIF((INDIRECT("'"&amp;K$4&amp;"'!$B$4:$B$83")),CONCATENATE("*",$D62,"*"))=1,VLOOKUP(CONCATENATE("*",$D62,"*"),(INDIRECT("'"&amp;K$4&amp;"'!$B$4:$H$83")),7,FALSE),"")))</f>
        <v/>
      </c>
      <c r="L62" s="35" t="str">
        <f ca="1">IF($D62="","",(IF(COUNTIF((INDIRECT("'"&amp;L$4&amp;"'!$B$4:$B$83")),CONCATENATE("*",$D62,"*"))=1,VLOOKUP(CONCATENATE("*",$D62,"*"),(INDIRECT("'"&amp;L$4&amp;"'!$B$4:$H$83")),7,FALSE),"")))</f>
        <v/>
      </c>
      <c r="M62" s="35" t="str">
        <f ca="1">IF($D62="","",(IF(COUNTIF((INDIRECT("'"&amp;M$4&amp;"'!$B$4:$B$83")),CONCATENATE("*",$D62,"*"))=1,VLOOKUP(CONCATENATE("*",$D62,"*"),(INDIRECT("'"&amp;M$4&amp;"'!$B$4:$H$83")),7,FALSE),"")))</f>
        <v/>
      </c>
      <c r="N62" s="31" t="str">
        <f>IF(O62&lt;&gt;"",MAX(F62:M62),"")</f>
        <v/>
      </c>
      <c r="O62" s="32"/>
      <c r="P62" s="32">
        <f ca="1">COUNTIF(F62:M62,"&gt;0")</f>
        <v>1</v>
      </c>
      <c r="Q62" s="37">
        <f t="array" aca="1" ref="Q62" ca="1">IF(COUNT(F62:N62)&gt;5,SUM(LARGE(F62:N62,{1,2,3,4,5})),SUM(F62:N62))</f>
        <v>30</v>
      </c>
    </row>
    <row r="63" spans="2:17" x14ac:dyDescent="0.35">
      <c r="B63" s="33">
        <f ca="1">IF(D63="","",RANK(Q63,$Q$5:$Q$91,0))</f>
        <v>59</v>
      </c>
      <c r="C63" s="32" t="str" cm="1">
        <f t="array" ref="C63">IF(E63="F",SUMPRODUCT(($E$5:$E$91=E63)*(Q63&lt;$Q$5:$Q$91))+1,"")</f>
        <v/>
      </c>
      <c r="D63" s="30" t="s">
        <v>105</v>
      </c>
      <c r="E63" s="31"/>
      <c r="F63" s="35" t="str">
        <f ca="1">IF($D63="","",(IF(COUNTIF((INDIRECT("'"&amp;F$4&amp;"'!$B$4:$B$83")),CONCATENATE("*",$D63,"*"))=1,VLOOKUP(CONCATENATE("*",$D63,"*"),(INDIRECT("'"&amp;F$4&amp;"'!$B$4:$H$83")),7,FALSE),"")))</f>
        <v/>
      </c>
      <c r="G63" s="35" t="str">
        <f ca="1">IF($D63="","",(IF(COUNTIF((INDIRECT("'"&amp;G$4&amp;"'!$B$4:$B$83")),CONCATENATE("*",$D63,"*"))=1,VLOOKUP(CONCATENATE("*",$D63,"*"),(INDIRECT("'"&amp;G$4&amp;"'!$B$4:$H$83")),7,FALSE),"")))</f>
        <v/>
      </c>
      <c r="H63" s="35">
        <f ca="1">IF($D63="","",(IF(COUNTIF((INDIRECT("'"&amp;H$4&amp;"'!$B$4:$B$83")),CONCATENATE("*",$D63,"*"))=1,VLOOKUP(CONCATENATE("*",$D63,"*"),(INDIRECT("'"&amp;H$4&amp;"'!$B$4:$H$83")),7,FALSE),"")))</f>
        <v>29</v>
      </c>
      <c r="I63" s="35" t="str">
        <f ca="1">IF($D63="","",(IF(COUNTIF((INDIRECT("'"&amp;I$4&amp;"'!$B$4:$B$83")),CONCATENATE("*",$D63,"*"))=1,VLOOKUP(CONCATENATE("*",$D63,"*"),(INDIRECT("'"&amp;I$4&amp;"'!$B$4:$H$83")),7,FALSE),"")))</f>
        <v/>
      </c>
      <c r="J63" s="35" t="str">
        <f ca="1">IF($D63="","",(IF(COUNTIF((INDIRECT("'"&amp;J$4&amp;"'!$B$4:$B$83")),CONCATENATE("*",$D63,"*"))=1,VLOOKUP(CONCATENATE("*",$D63,"*"),(INDIRECT("'"&amp;J$4&amp;"'!$B$4:$H$83")),7,FALSE),"")))</f>
        <v/>
      </c>
      <c r="K63" s="35" t="str">
        <f ca="1">IF($D63="","",(IF(COUNTIF((INDIRECT("'"&amp;K$4&amp;"'!$B$4:$B$83")),CONCATENATE("*",$D63,"*"))=1,VLOOKUP(CONCATENATE("*",$D63,"*"),(INDIRECT("'"&amp;K$4&amp;"'!$B$4:$H$83")),7,FALSE),"")))</f>
        <v/>
      </c>
      <c r="L63" s="35" t="str">
        <f ca="1">IF($D63="","",(IF(COUNTIF((INDIRECT("'"&amp;L$4&amp;"'!$B$4:$B$83")),CONCATENATE("*",$D63,"*"))=1,VLOOKUP(CONCATENATE("*",$D63,"*"),(INDIRECT("'"&amp;L$4&amp;"'!$B$4:$H$83")),7,FALSE),"")))</f>
        <v/>
      </c>
      <c r="M63" s="35" t="str">
        <f ca="1">IF($D63="","",(IF(COUNTIF((INDIRECT("'"&amp;M$4&amp;"'!$B$4:$B$83")),CONCATENATE("*",$D63,"*"))=1,VLOOKUP(CONCATENATE("*",$D63,"*"),(INDIRECT("'"&amp;M$4&amp;"'!$B$4:$H$83")),7,FALSE),"")))</f>
        <v/>
      </c>
      <c r="N63" s="31" t="str">
        <f>IF(O63&lt;&gt;"",MAX(F63:M63),"")</f>
        <v/>
      </c>
      <c r="O63" s="32"/>
      <c r="P63" s="32">
        <f ca="1">COUNTIF(F63:M63,"&gt;0")</f>
        <v>1</v>
      </c>
      <c r="Q63" s="37">
        <f t="array" aca="1" ref="Q63" ca="1">IF(COUNT(F63:N63)&gt;5,SUM(LARGE(F63:N63,{1,2,3,4,5})),SUM(F63:N63))</f>
        <v>29</v>
      </c>
    </row>
    <row r="64" spans="2:17" x14ac:dyDescent="0.35">
      <c r="B64" s="33">
        <f ca="1">IF(D64="","",RANK(Q64,$Q$5:$Q$91,0))</f>
        <v>59</v>
      </c>
      <c r="C64" s="32" t="str" cm="1">
        <f t="array" ref="C64">IF(E64="F",SUMPRODUCT(($E$5:$E$91=E64)*(Q64&lt;$Q$5:$Q$91))+1,"")</f>
        <v/>
      </c>
      <c r="D64" s="30" t="s">
        <v>125</v>
      </c>
      <c r="E64" s="31"/>
      <c r="F64" s="35" t="str">
        <f ca="1">IF($D64="","",(IF(COUNTIF((INDIRECT("'"&amp;F$4&amp;"'!$B$4:$B$83")),CONCATENATE("*",$D64,"*"))=1,VLOOKUP(CONCATENATE("*",$D64,"*"),(INDIRECT("'"&amp;F$4&amp;"'!$B$4:$H$83")),7,FALSE),"")))</f>
        <v/>
      </c>
      <c r="G64" s="35" t="str">
        <f ca="1">IF($D64="","",(IF(COUNTIF((INDIRECT("'"&amp;G$4&amp;"'!$B$4:$B$83")),CONCATENATE("*",$D64,"*"))=1,VLOOKUP(CONCATENATE("*",$D64,"*"),(INDIRECT("'"&amp;G$4&amp;"'!$B$4:$H$83")),7,FALSE),"")))</f>
        <v/>
      </c>
      <c r="H64" s="35" t="str">
        <f ca="1">IF($D64="","",(IF(COUNTIF((INDIRECT("'"&amp;H$4&amp;"'!$B$4:$B$83")),CONCATENATE("*",$D64,"*"))=1,VLOOKUP(CONCATENATE("*",$D64,"*"),(INDIRECT("'"&amp;H$4&amp;"'!$B$4:$H$83")),7,FALSE),"")))</f>
        <v/>
      </c>
      <c r="I64" s="35">
        <f ca="1">IF($D64="","",(IF(COUNTIF((INDIRECT("'"&amp;I$4&amp;"'!$B$4:$B$83")),CONCATENATE("*",$D64,"*"))=1,VLOOKUP(CONCATENATE("*",$D64,"*"),(INDIRECT("'"&amp;I$4&amp;"'!$B$4:$H$83")),7,FALSE),"")))</f>
        <v>29</v>
      </c>
      <c r="J64" s="35" t="str">
        <f ca="1">IF($D64="","",(IF(COUNTIF((INDIRECT("'"&amp;J$4&amp;"'!$B$4:$B$83")),CONCATENATE("*",$D64,"*"))=1,VLOOKUP(CONCATENATE("*",$D64,"*"),(INDIRECT("'"&amp;J$4&amp;"'!$B$4:$H$83")),7,FALSE),"")))</f>
        <v/>
      </c>
      <c r="K64" s="35" t="str">
        <f ca="1">IF($D64="","",(IF(COUNTIF((INDIRECT("'"&amp;K$4&amp;"'!$B$4:$B$83")),CONCATENATE("*",$D64,"*"))=1,VLOOKUP(CONCATENATE("*",$D64,"*"),(INDIRECT("'"&amp;K$4&amp;"'!$B$4:$H$83")),7,FALSE),"")))</f>
        <v/>
      </c>
      <c r="L64" s="35" t="str">
        <f ca="1">IF($D64="","",(IF(COUNTIF((INDIRECT("'"&amp;L$4&amp;"'!$B$4:$B$83")),CONCATENATE("*",$D64,"*"))=1,VLOOKUP(CONCATENATE("*",$D64,"*"),(INDIRECT("'"&amp;L$4&amp;"'!$B$4:$H$83")),7,FALSE),"")))</f>
        <v/>
      </c>
      <c r="M64" s="35" t="str">
        <f ca="1">IF($D64="","",(IF(COUNTIF((INDIRECT("'"&amp;M$4&amp;"'!$B$4:$B$83")),CONCATENATE("*",$D64,"*"))=1,VLOOKUP(CONCATENATE("*",$D64,"*"),(INDIRECT("'"&amp;M$4&amp;"'!$B$4:$H$83")),7,FALSE),"")))</f>
        <v/>
      </c>
      <c r="N64" s="31" t="str">
        <f>IF(O64&lt;&gt;"",MAX(F64:M64),"")</f>
        <v/>
      </c>
      <c r="O64" s="32"/>
      <c r="P64" s="32">
        <f ca="1">COUNTIF(F64:M64,"&gt;0")</f>
        <v>1</v>
      </c>
      <c r="Q64" s="37">
        <f t="array" aca="1" ref="Q64" ca="1">IF(COUNT(F64:N64)&gt;5,SUM(LARGE(F64:N64,{1,2,3,4,5})),SUM(F64:N64))</f>
        <v>29</v>
      </c>
    </row>
    <row r="65" spans="2:17" x14ac:dyDescent="0.35">
      <c r="B65" s="33">
        <f ca="1">IF(D65="","",RANK(Q65,$Q$5:$Q$91,0))</f>
        <v>61</v>
      </c>
      <c r="C65" s="32" cm="1">
        <f t="array" aca="1" ref="C65" ca="1">IF(E65="F",SUMPRODUCT(($E$5:$E$91=E65)*(Q65&lt;$Q$5:$Q$91))+1,"")</f>
        <v>17</v>
      </c>
      <c r="D65" s="30" t="s">
        <v>106</v>
      </c>
      <c r="E65" s="31" t="s">
        <v>49</v>
      </c>
      <c r="F65" s="35" t="str">
        <f ca="1">IF($D65="","",(IF(COUNTIF((INDIRECT("'"&amp;F$4&amp;"'!$B$4:$B$83")),CONCATENATE("*",$D65,"*"))=1,VLOOKUP(CONCATENATE("*",$D65,"*"),(INDIRECT("'"&amp;F$4&amp;"'!$B$4:$H$83")),7,FALSE),"")))</f>
        <v/>
      </c>
      <c r="G65" s="35" t="str">
        <f ca="1">IF($D65="","",(IF(COUNTIF((INDIRECT("'"&amp;G$4&amp;"'!$B$4:$B$83")),CONCATENATE("*",$D65,"*"))=1,VLOOKUP(CONCATENATE("*",$D65,"*"),(INDIRECT("'"&amp;G$4&amp;"'!$B$4:$H$83")),7,FALSE),"")))</f>
        <v/>
      </c>
      <c r="H65" s="35">
        <f ca="1">IF($D65="","",(IF(COUNTIF((INDIRECT("'"&amp;H$4&amp;"'!$B$4:$B$83")),CONCATENATE("*",$D65,"*"))=1,VLOOKUP(CONCATENATE("*",$D65,"*"),(INDIRECT("'"&amp;H$4&amp;"'!$B$4:$H$83")),7,FALSE),"")))</f>
        <v>28</v>
      </c>
      <c r="I65" s="35" t="str">
        <f ca="1">IF($D65="","",(IF(COUNTIF((INDIRECT("'"&amp;I$4&amp;"'!$B$4:$B$83")),CONCATENATE("*",$D65,"*"))=1,VLOOKUP(CONCATENATE("*",$D65,"*"),(INDIRECT("'"&amp;I$4&amp;"'!$B$4:$H$83")),7,FALSE),"")))</f>
        <v/>
      </c>
      <c r="J65" s="35" t="str">
        <f ca="1">IF($D65="","",(IF(COUNTIF((INDIRECT("'"&amp;J$4&amp;"'!$B$4:$B$83")),CONCATENATE("*",$D65,"*"))=1,VLOOKUP(CONCATENATE("*",$D65,"*"),(INDIRECT("'"&amp;J$4&amp;"'!$B$4:$H$83")),7,FALSE),"")))</f>
        <v/>
      </c>
      <c r="K65" s="35" t="str">
        <f ca="1">IF($D65="","",(IF(COUNTIF((INDIRECT("'"&amp;K$4&amp;"'!$B$4:$B$83")),CONCATENATE("*",$D65,"*"))=1,VLOOKUP(CONCATENATE("*",$D65,"*"),(INDIRECT("'"&amp;K$4&amp;"'!$B$4:$H$83")),7,FALSE),"")))</f>
        <v/>
      </c>
      <c r="L65" s="35" t="str">
        <f ca="1">IF($D65="","",(IF(COUNTIF((INDIRECT("'"&amp;L$4&amp;"'!$B$4:$B$83")),CONCATENATE("*",$D65,"*"))=1,VLOOKUP(CONCATENATE("*",$D65,"*"),(INDIRECT("'"&amp;L$4&amp;"'!$B$4:$H$83")),7,FALSE),"")))</f>
        <v/>
      </c>
      <c r="M65" s="35" t="str">
        <f ca="1">IF($D65="","",(IF(COUNTIF((INDIRECT("'"&amp;M$4&amp;"'!$B$4:$B$83")),CONCATENATE("*",$D65,"*"))=1,VLOOKUP(CONCATENATE("*",$D65,"*"),(INDIRECT("'"&amp;M$4&amp;"'!$B$4:$H$83")),7,FALSE),"")))</f>
        <v/>
      </c>
      <c r="N65" s="31" t="str">
        <f>IF(O65&lt;&gt;"",MAX(F65:M65),"")</f>
        <v/>
      </c>
      <c r="O65" s="32"/>
      <c r="P65" s="32">
        <f ca="1">COUNTIF(F65:M65,"&gt;0")</f>
        <v>1</v>
      </c>
      <c r="Q65" s="37">
        <f t="array" aca="1" ref="Q65" ca="1">IF(COUNT(F65:N65)&gt;5,SUM(LARGE(F65:N65,{1,2,3,4,5})),SUM(F65:N65))</f>
        <v>28</v>
      </c>
    </row>
    <row r="66" spans="2:17" x14ac:dyDescent="0.35">
      <c r="B66" s="33">
        <f ca="1">IF(D66="","",RANK(Q66,$Q$5:$Q$91,0))</f>
        <v>62</v>
      </c>
      <c r="C66" s="32" t="str" cm="1">
        <f t="array" ref="C66">IF(E66="F",SUMPRODUCT(($E$5:$E$91=E66)*(Q66&lt;$Q$5:$Q$91))+1,"")</f>
        <v/>
      </c>
      <c r="D66" s="30" t="s">
        <v>68</v>
      </c>
      <c r="E66" s="31"/>
      <c r="F66" s="35">
        <f ca="1">IF($D66="","",(IF(COUNTIF((INDIRECT("'"&amp;F$4&amp;"'!$B$4:$B$83")),CONCATENATE("*",$D66,"*"))=1,VLOOKUP(CONCATENATE("*",$D66,"*"),(INDIRECT("'"&amp;F$4&amp;"'!$B$4:$H$83")),7,FALSE),"")))</f>
        <v>27</v>
      </c>
      <c r="G66" s="35" t="str">
        <f ca="1">IF($D66="","",(IF(COUNTIF((INDIRECT("'"&amp;G$4&amp;"'!$B$4:$B$83")),CONCATENATE("*",$D66,"*"))=1,VLOOKUP(CONCATENATE("*",$D66,"*"),(INDIRECT("'"&amp;G$4&amp;"'!$B$4:$H$83")),7,FALSE),"")))</f>
        <v/>
      </c>
      <c r="H66" s="35" t="str">
        <f ca="1">IF($D66="","",(IF(COUNTIF((INDIRECT("'"&amp;H$4&amp;"'!$B$4:$B$83")),CONCATENATE("*",$D66,"*"))=1,VLOOKUP(CONCATENATE("*",$D66,"*"),(INDIRECT("'"&amp;H$4&amp;"'!$B$4:$H$83")),7,FALSE),"")))</f>
        <v/>
      </c>
      <c r="I66" s="35" t="str">
        <f ca="1">IF($D66="","",(IF(COUNTIF((INDIRECT("'"&amp;I$4&amp;"'!$B$4:$B$83")),CONCATENATE("*",$D66,"*"))=1,VLOOKUP(CONCATENATE("*",$D66,"*"),(INDIRECT("'"&amp;I$4&amp;"'!$B$4:$H$83")),7,FALSE),"")))</f>
        <v/>
      </c>
      <c r="J66" s="35" t="str">
        <f ca="1">IF($D66="","",(IF(COUNTIF((INDIRECT("'"&amp;J$4&amp;"'!$B$4:$B$83")),CONCATENATE("*",$D66,"*"))=1,VLOOKUP(CONCATENATE("*",$D66,"*"),(INDIRECT("'"&amp;J$4&amp;"'!$B$4:$H$83")),7,FALSE),"")))</f>
        <v/>
      </c>
      <c r="K66" s="35" t="str">
        <f ca="1">IF($D66="","",(IF(COUNTIF((INDIRECT("'"&amp;K$4&amp;"'!$B$4:$B$83")),CONCATENATE("*",$D66,"*"))=1,VLOOKUP(CONCATENATE("*",$D66,"*"),(INDIRECT("'"&amp;K$4&amp;"'!$B$4:$H$83")),7,FALSE),"")))</f>
        <v/>
      </c>
      <c r="L66" s="35" t="str">
        <f ca="1">IF($D66="","",(IF(COUNTIF((INDIRECT("'"&amp;L$4&amp;"'!$B$4:$B$83")),CONCATENATE("*",$D66,"*"))=1,VLOOKUP(CONCATENATE("*",$D66,"*"),(INDIRECT("'"&amp;L$4&amp;"'!$B$4:$H$83")),7,FALSE),"")))</f>
        <v/>
      </c>
      <c r="M66" s="35" t="str">
        <f ca="1">IF($D66="","",(IF(COUNTIF((INDIRECT("'"&amp;M$4&amp;"'!$B$4:$B$83")),CONCATENATE("*",$D66,"*"))=1,VLOOKUP(CONCATENATE("*",$D66,"*"),(INDIRECT("'"&amp;M$4&amp;"'!$B$4:$H$83")),7,FALSE),"")))</f>
        <v/>
      </c>
      <c r="N66" s="31" t="str">
        <f>IF(O66&lt;&gt;"",MAX(F66:M66),"")</f>
        <v/>
      </c>
      <c r="O66" s="32"/>
      <c r="P66" s="32">
        <f ca="1">COUNTIF(F66:M66,"&gt;0")</f>
        <v>1</v>
      </c>
      <c r="Q66" s="37">
        <f t="array" aca="1" ref="Q66" ca="1">IF(COUNT(F66:N66)&gt;5,SUM(LARGE(F66:N66,{1,2,3,4,5})),SUM(F66:N66))</f>
        <v>27</v>
      </c>
    </row>
    <row r="67" spans="2:17" x14ac:dyDescent="0.35">
      <c r="B67" s="33">
        <f ca="1">IF(D67="","",RANK(Q67,$Q$5:$Q$91,0))</f>
        <v>63</v>
      </c>
      <c r="C67" s="32" t="str" cm="1">
        <f t="array" ref="C67">IF(E67="F",SUMPRODUCT(($E$5:$E$91=E67)*(Q67&lt;$Q$5:$Q$91))+1,"")</f>
        <v/>
      </c>
      <c r="D67" s="30" t="s">
        <v>127</v>
      </c>
      <c r="E67" s="31"/>
      <c r="F67" s="35" t="str">
        <f ca="1">IF($D67="","",(IF(COUNTIF((INDIRECT("'"&amp;F$4&amp;"'!$B$4:$B$83")),CONCATENATE("*",$D67,"*"))=1,VLOOKUP(CONCATENATE("*",$D67,"*"),(INDIRECT("'"&amp;F$4&amp;"'!$B$4:$H$83")),7,FALSE),"")))</f>
        <v/>
      </c>
      <c r="G67" s="35" t="str">
        <f ca="1">IF($D67="","",(IF(COUNTIF((INDIRECT("'"&amp;G$4&amp;"'!$B$4:$B$83")),CONCATENATE("*",$D67,"*"))=1,VLOOKUP(CONCATENATE("*",$D67,"*"),(INDIRECT("'"&amp;G$4&amp;"'!$B$4:$H$83")),7,FALSE),"")))</f>
        <v/>
      </c>
      <c r="H67" s="35" t="str">
        <f ca="1">IF($D67="","",(IF(COUNTIF((INDIRECT("'"&amp;H$4&amp;"'!$B$4:$B$83")),CONCATENATE("*",$D67,"*"))=1,VLOOKUP(CONCATENATE("*",$D67,"*"),(INDIRECT("'"&amp;H$4&amp;"'!$B$4:$H$83")),7,FALSE),"")))</f>
        <v/>
      </c>
      <c r="I67" s="35">
        <f ca="1">IF($D67="","",(IF(COUNTIF((INDIRECT("'"&amp;I$4&amp;"'!$B$4:$B$83")),CONCATENATE("*",$D67,"*"))=1,VLOOKUP(CONCATENATE("*",$D67,"*"),(INDIRECT("'"&amp;I$4&amp;"'!$B$4:$H$83")),7,FALSE),"")))</f>
        <v>26</v>
      </c>
      <c r="J67" s="35" t="str">
        <f ca="1">IF($D67="","",(IF(COUNTIF((INDIRECT("'"&amp;J$4&amp;"'!$B$4:$B$83")),CONCATENATE("*",$D67,"*"))=1,VLOOKUP(CONCATENATE("*",$D67,"*"),(INDIRECT("'"&amp;J$4&amp;"'!$B$4:$H$83")),7,FALSE),"")))</f>
        <v/>
      </c>
      <c r="K67" s="35" t="str">
        <f ca="1">IF($D67="","",(IF(COUNTIF((INDIRECT("'"&amp;K$4&amp;"'!$B$4:$B$83")),CONCATENATE("*",$D67,"*"))=1,VLOOKUP(CONCATENATE("*",$D67,"*"),(INDIRECT("'"&amp;K$4&amp;"'!$B$4:$H$83")),7,FALSE),"")))</f>
        <v/>
      </c>
      <c r="L67" s="35" t="str">
        <f ca="1">IF($D67="","",(IF(COUNTIF((INDIRECT("'"&amp;L$4&amp;"'!$B$4:$B$83")),CONCATENATE("*",$D67,"*"))=1,VLOOKUP(CONCATENATE("*",$D67,"*"),(INDIRECT("'"&amp;L$4&amp;"'!$B$4:$H$83")),7,FALSE),"")))</f>
        <v/>
      </c>
      <c r="M67" s="35" t="str">
        <f ca="1">IF($D67="","",(IF(COUNTIF((INDIRECT("'"&amp;M$4&amp;"'!$B$4:$B$83")),CONCATENATE("*",$D67,"*"))=1,VLOOKUP(CONCATENATE("*",$D67,"*"),(INDIRECT("'"&amp;M$4&amp;"'!$B$4:$H$83")),7,FALSE),"")))</f>
        <v/>
      </c>
      <c r="N67" s="31" t="str">
        <f>IF(O67&lt;&gt;"",MAX(F67:M67),"")</f>
        <v/>
      </c>
      <c r="O67" s="32"/>
      <c r="P67" s="32">
        <f ca="1">COUNTIF(F67:M67,"&gt;0")</f>
        <v>1</v>
      </c>
      <c r="Q67" s="37">
        <f t="array" aca="1" ref="Q67" ca="1">IF(COUNT(F67:N67)&gt;5,SUM(LARGE(F67:N67,{1,2,3,4,5})),SUM(F67:N67))</f>
        <v>26</v>
      </c>
    </row>
    <row r="68" spans="2:17" x14ac:dyDescent="0.35">
      <c r="B68" s="33">
        <f ca="1">IF(D68="","",RANK(Q68,$Q$5:$Q$91,0))</f>
        <v>63</v>
      </c>
      <c r="C68" s="32" cm="1">
        <f t="array" aca="1" ref="C68" ca="1">IF(E68="F",SUMPRODUCT(($E$5:$E$91=E68)*(Q68&lt;$Q$5:$Q$91))+1,"")</f>
        <v>18</v>
      </c>
      <c r="D68" s="30" t="s">
        <v>133</v>
      </c>
      <c r="E68" s="31" t="s">
        <v>49</v>
      </c>
      <c r="F68" s="35" t="str">
        <f ca="1">IF($D68="","",(IF(COUNTIF((INDIRECT("'"&amp;F$4&amp;"'!$B$4:$B$83")),CONCATENATE("*",$D68,"*"))=1,VLOOKUP(CONCATENATE("*",$D68,"*"),(INDIRECT("'"&amp;F$4&amp;"'!$B$4:$H$83")),7,FALSE),"")))</f>
        <v/>
      </c>
      <c r="G68" s="35" t="str">
        <f ca="1">IF($D68="","",(IF(COUNTIF((INDIRECT("'"&amp;G$4&amp;"'!$B$4:$B$83")),CONCATENATE("*",$D68,"*"))=1,VLOOKUP(CONCATENATE("*",$D68,"*"),(INDIRECT("'"&amp;G$4&amp;"'!$B$4:$H$83")),7,FALSE),"")))</f>
        <v/>
      </c>
      <c r="H68" s="35" t="str">
        <f ca="1">IF($D68="","",(IF(COUNTIF((INDIRECT("'"&amp;H$4&amp;"'!$B$4:$B$83")),CONCATENATE("*",$D68,"*"))=1,VLOOKUP(CONCATENATE("*",$D68,"*"),(INDIRECT("'"&amp;H$4&amp;"'!$B$4:$H$83")),7,FALSE),"")))</f>
        <v/>
      </c>
      <c r="I68" s="35">
        <f ca="1">IF($D68="","",(IF(COUNTIF((INDIRECT("'"&amp;I$4&amp;"'!$B$4:$B$83")),CONCATENATE("*",$D68,"*"))=1,VLOOKUP(CONCATENATE("*",$D68,"*"),(INDIRECT("'"&amp;I$4&amp;"'!$B$4:$H$83")),7,FALSE),"")))</f>
        <v>26</v>
      </c>
      <c r="J68" s="35" t="str">
        <f ca="1">IF($D68="","",(IF(COUNTIF((INDIRECT("'"&amp;J$4&amp;"'!$B$4:$B$83")),CONCATENATE("*",$D68,"*"))=1,VLOOKUP(CONCATENATE("*",$D68,"*"),(INDIRECT("'"&amp;J$4&amp;"'!$B$4:$H$83")),7,FALSE),"")))</f>
        <v/>
      </c>
      <c r="K68" s="35" t="str">
        <f ca="1">IF($D68="","",(IF(COUNTIF((INDIRECT("'"&amp;K$4&amp;"'!$B$4:$B$83")),CONCATENATE("*",$D68,"*"))=1,VLOOKUP(CONCATENATE("*",$D68,"*"),(INDIRECT("'"&amp;K$4&amp;"'!$B$4:$H$83")),7,FALSE),"")))</f>
        <v/>
      </c>
      <c r="L68" s="35" t="str">
        <f ca="1">IF($D68="","",(IF(COUNTIF((INDIRECT("'"&amp;L$4&amp;"'!$B$4:$B$83")),CONCATENATE("*",$D68,"*"))=1,VLOOKUP(CONCATENATE("*",$D68,"*"),(INDIRECT("'"&amp;L$4&amp;"'!$B$4:$H$83")),7,FALSE),"")))</f>
        <v/>
      </c>
      <c r="M68" s="35" t="str">
        <f ca="1">IF($D68="","",(IF(COUNTIF((INDIRECT("'"&amp;M$4&amp;"'!$B$4:$B$83")),CONCATENATE("*",$D68,"*"))=1,VLOOKUP(CONCATENATE("*",$D68,"*"),(INDIRECT("'"&amp;M$4&amp;"'!$B$4:$H$83")),7,FALSE),"")))</f>
        <v/>
      </c>
      <c r="N68" s="31" t="str">
        <f>IF(O68&lt;&gt;"",MAX(F68:M68),"")</f>
        <v/>
      </c>
      <c r="O68" s="32"/>
      <c r="P68" s="32">
        <f ca="1">COUNTIF(F68:M68,"&gt;0")</f>
        <v>1</v>
      </c>
      <c r="Q68" s="37">
        <f t="array" aca="1" ref="Q68" ca="1">IF(COUNT(F68:N68)&gt;5,SUM(LARGE(F68:N68,{1,2,3,4,5})),SUM(F68:N68))</f>
        <v>26</v>
      </c>
    </row>
    <row r="69" spans="2:17" x14ac:dyDescent="0.35">
      <c r="B69" s="33">
        <f ca="1">IF(D69="","",RANK(Q69,$Q$5:$Q$91,0))</f>
        <v>65</v>
      </c>
      <c r="C69" s="32" t="str" cm="1">
        <f t="array" ref="C69">IF(E69="F",SUMPRODUCT(($E$5:$E$91=E69)*(Q69&lt;$Q$5:$Q$91))+1,"")</f>
        <v/>
      </c>
      <c r="D69" s="30" t="s">
        <v>66</v>
      </c>
      <c r="E69" s="31"/>
      <c r="F69" s="35">
        <f ca="1">IF($D69="","",(IF(COUNTIF((INDIRECT("'"&amp;F$4&amp;"'!$B$4:$B$83")),CONCATENATE("*",$D69,"*"))=1,VLOOKUP(CONCATENATE("*",$D69,"*"),(INDIRECT("'"&amp;F$4&amp;"'!$B$4:$H$83")),7,FALSE),"")))</f>
        <v>16</v>
      </c>
      <c r="G69" s="35" t="str">
        <f ca="1">IF($D69="","",(IF(COUNTIF((INDIRECT("'"&amp;G$4&amp;"'!$B$4:$B$83")),CONCATENATE("*",$D69,"*"))=1,VLOOKUP(CONCATENATE("*",$D69,"*"),(INDIRECT("'"&amp;G$4&amp;"'!$B$4:$H$83")),7,FALSE),"")))</f>
        <v/>
      </c>
      <c r="H69" s="35" t="str">
        <f ca="1">IF($D69="","",(IF(COUNTIF((INDIRECT("'"&amp;H$4&amp;"'!$B$4:$B$83")),CONCATENATE("*",$D69,"*"))=1,VLOOKUP(CONCATENATE("*",$D69,"*"),(INDIRECT("'"&amp;H$4&amp;"'!$B$4:$H$83")),7,FALSE),"")))</f>
        <v/>
      </c>
      <c r="I69" s="35">
        <f ca="1">IF($D69="","",(IF(COUNTIF((INDIRECT("'"&amp;I$4&amp;"'!$B$4:$B$83")),CONCATENATE("*",$D69,"*"))=1,VLOOKUP(CONCATENATE("*",$D69,"*"),(INDIRECT("'"&amp;I$4&amp;"'!$B$4:$H$83")),7,FALSE),"")))</f>
        <v>9</v>
      </c>
      <c r="J69" s="35" t="str">
        <f ca="1">IF($D69="","",(IF(COUNTIF((INDIRECT("'"&amp;J$4&amp;"'!$B$4:$B$83")),CONCATENATE("*",$D69,"*"))=1,VLOOKUP(CONCATENATE("*",$D69,"*"),(INDIRECT("'"&amp;J$4&amp;"'!$B$4:$H$83")),7,FALSE),"")))</f>
        <v/>
      </c>
      <c r="K69" s="35" t="str">
        <f ca="1">IF($D69="","",(IF(COUNTIF((INDIRECT("'"&amp;K$4&amp;"'!$B$4:$B$83")),CONCATENATE("*",$D69,"*"))=1,VLOOKUP(CONCATENATE("*",$D69,"*"),(INDIRECT("'"&amp;K$4&amp;"'!$B$4:$H$83")),7,FALSE),"")))</f>
        <v/>
      </c>
      <c r="L69" s="35" t="str">
        <f ca="1">IF($D69="","",(IF(COUNTIF((INDIRECT("'"&amp;L$4&amp;"'!$B$4:$B$83")),CONCATENATE("*",$D69,"*"))=1,VLOOKUP(CONCATENATE("*",$D69,"*"),(INDIRECT("'"&amp;L$4&amp;"'!$B$4:$H$83")),7,FALSE),"")))</f>
        <v/>
      </c>
      <c r="M69" s="35" t="str">
        <f ca="1">IF($D69="","",(IF(COUNTIF((INDIRECT("'"&amp;M$4&amp;"'!$B$4:$B$83")),CONCATENATE("*",$D69,"*"))=1,VLOOKUP(CONCATENATE("*",$D69,"*"),(INDIRECT("'"&amp;M$4&amp;"'!$B$4:$H$83")),7,FALSE),"")))</f>
        <v/>
      </c>
      <c r="N69" s="31" t="str">
        <f>IF(O69&lt;&gt;"",MAX(F69:M69),"")</f>
        <v/>
      </c>
      <c r="O69" s="32"/>
      <c r="P69" s="32">
        <f ca="1">COUNTIF(F69:M69,"&gt;0")</f>
        <v>2</v>
      </c>
      <c r="Q69" s="37">
        <f t="array" aca="1" ref="Q69" ca="1">IF(COUNT(F69:N69)&gt;5,SUM(LARGE(F69:N69,{1,2,3,4,5})),SUM(F69:N69))</f>
        <v>25</v>
      </c>
    </row>
    <row r="70" spans="2:17" x14ac:dyDescent="0.35">
      <c r="B70" s="33">
        <f ca="1">IF(D70="","",RANK(Q70,$Q$5:$Q$91,0))</f>
        <v>66</v>
      </c>
      <c r="C70" s="32" t="str" cm="1">
        <f t="array" ref="C70">IF(E70="F",SUMPRODUCT(($E$5:$E$91=E70)*(Q70&lt;$Q$5:$Q$91))+1,"")</f>
        <v/>
      </c>
      <c r="D70" s="30" t="s">
        <v>93</v>
      </c>
      <c r="E70" s="31"/>
      <c r="F70" s="35" t="str">
        <f ca="1">IF($D70="","",(IF(COUNTIF((INDIRECT("'"&amp;F$4&amp;"'!$B$4:$B$83")),CONCATENATE("*",$D70,"*"))=1,VLOOKUP(CONCATENATE("*",$D70,"*"),(INDIRECT("'"&amp;F$4&amp;"'!$B$4:$H$83")),7,FALSE),"")))</f>
        <v/>
      </c>
      <c r="G70" s="35">
        <f ca="1">IF($D70="","",(IF(COUNTIF((INDIRECT("'"&amp;G$4&amp;"'!$B$4:$B$83")),CONCATENATE("*",$D70,"*"))=1,VLOOKUP(CONCATENATE("*",$D70,"*"),(INDIRECT("'"&amp;G$4&amp;"'!$B$4:$H$83")),7,FALSE),"")))</f>
        <v>24</v>
      </c>
      <c r="H70" s="35" t="str">
        <f ca="1">IF($D70="","",(IF(COUNTIF((INDIRECT("'"&amp;H$4&amp;"'!$B$4:$B$83")),CONCATENATE("*",$D70,"*"))=1,VLOOKUP(CONCATENATE("*",$D70,"*"),(INDIRECT("'"&amp;H$4&amp;"'!$B$4:$H$83")),7,FALSE),"")))</f>
        <v/>
      </c>
      <c r="I70" s="35" t="str">
        <f ca="1">IF($D70="","",(IF(COUNTIF((INDIRECT("'"&amp;I$4&amp;"'!$B$4:$B$83")),CONCATENATE("*",$D70,"*"))=1,VLOOKUP(CONCATENATE("*",$D70,"*"),(INDIRECT("'"&amp;I$4&amp;"'!$B$4:$H$83")),7,FALSE),"")))</f>
        <v/>
      </c>
      <c r="J70" s="35" t="str">
        <f ca="1">IF($D70="","",(IF(COUNTIF((INDIRECT("'"&amp;J$4&amp;"'!$B$4:$B$83")),CONCATENATE("*",$D70,"*"))=1,VLOOKUP(CONCATENATE("*",$D70,"*"),(INDIRECT("'"&amp;J$4&amp;"'!$B$4:$H$83")),7,FALSE),"")))</f>
        <v/>
      </c>
      <c r="K70" s="35" t="str">
        <f ca="1">IF($D70="","",(IF(COUNTIF((INDIRECT("'"&amp;K$4&amp;"'!$B$4:$B$83")),CONCATENATE("*",$D70,"*"))=1,VLOOKUP(CONCATENATE("*",$D70,"*"),(INDIRECT("'"&amp;K$4&amp;"'!$B$4:$H$83")),7,FALSE),"")))</f>
        <v/>
      </c>
      <c r="L70" s="35" t="str">
        <f ca="1">IF($D70="","",(IF(COUNTIF((INDIRECT("'"&amp;L$4&amp;"'!$B$4:$B$83")),CONCATENATE("*",$D70,"*"))=1,VLOOKUP(CONCATENATE("*",$D70,"*"),(INDIRECT("'"&amp;L$4&amp;"'!$B$4:$H$83")),7,FALSE),"")))</f>
        <v/>
      </c>
      <c r="M70" s="35" t="str">
        <f ca="1">IF($D70="","",(IF(COUNTIF((INDIRECT("'"&amp;M$4&amp;"'!$B$4:$B$83")),CONCATENATE("*",$D70,"*"))=1,VLOOKUP(CONCATENATE("*",$D70,"*"),(INDIRECT("'"&amp;M$4&amp;"'!$B$4:$H$83")),7,FALSE),"")))</f>
        <v/>
      </c>
      <c r="N70" s="31" t="str">
        <f>IF(O70&lt;&gt;"",MAX(F70:M70),"")</f>
        <v/>
      </c>
      <c r="O70" s="32"/>
      <c r="P70" s="32">
        <f ca="1">COUNTIF(F70:M70,"&gt;0")</f>
        <v>1</v>
      </c>
      <c r="Q70" s="37">
        <f t="array" aca="1" ref="Q70" ca="1">IF(COUNT(F70:N70)&gt;5,SUM(LARGE(F70:N70,{1,2,3,4,5})),SUM(F70:N70))</f>
        <v>24</v>
      </c>
    </row>
    <row r="71" spans="2:17" x14ac:dyDescent="0.35">
      <c r="B71" s="33">
        <f ca="1">IF(D71="","",RANK(Q71,$Q$5:$Q$91,0))</f>
        <v>66</v>
      </c>
      <c r="C71" s="32" cm="1">
        <f t="array" aca="1" ref="C71" ca="1">IF(E71="F",SUMPRODUCT(($E$5:$E$91=E71)*(Q71&lt;$Q$5:$Q$91))+1,"")</f>
        <v>19</v>
      </c>
      <c r="D71" s="30" t="s">
        <v>86</v>
      </c>
      <c r="E71" s="31" t="s">
        <v>49</v>
      </c>
      <c r="F71" s="35" t="str">
        <f ca="1">IF($D71="","",(IF(COUNTIF((INDIRECT("'"&amp;F$4&amp;"'!$B$4:$B$83")),CONCATENATE("*",$D71,"*"))=1,VLOOKUP(CONCATENATE("*",$D71,"*"),(INDIRECT("'"&amp;F$4&amp;"'!$B$4:$H$83")),7,FALSE),"")))</f>
        <v/>
      </c>
      <c r="G71" s="35">
        <f ca="1">IF($D71="","",(IF(COUNTIF((INDIRECT("'"&amp;G$4&amp;"'!$B$4:$B$83")),CONCATENATE("*",$D71,"*"))=1,VLOOKUP(CONCATENATE("*",$D71,"*"),(INDIRECT("'"&amp;G$4&amp;"'!$B$4:$H$83")),7,FALSE),"")))</f>
        <v>24</v>
      </c>
      <c r="H71" s="35" t="str">
        <f ca="1">IF($D71="","",(IF(COUNTIF((INDIRECT("'"&amp;H$4&amp;"'!$B$4:$B$83")),CONCATENATE("*",$D71,"*"))=1,VLOOKUP(CONCATENATE("*",$D71,"*"),(INDIRECT("'"&amp;H$4&amp;"'!$B$4:$H$83")),7,FALSE),"")))</f>
        <v/>
      </c>
      <c r="I71" s="35" t="str">
        <f ca="1">IF($D71="","",(IF(COUNTIF((INDIRECT("'"&amp;I$4&amp;"'!$B$4:$B$83")),CONCATENATE("*",$D71,"*"))=1,VLOOKUP(CONCATENATE("*",$D71,"*"),(INDIRECT("'"&amp;I$4&amp;"'!$B$4:$H$83")),7,FALSE),"")))</f>
        <v/>
      </c>
      <c r="J71" s="35" t="str">
        <f ca="1">IF($D71="","",(IF(COUNTIF((INDIRECT("'"&amp;J$4&amp;"'!$B$4:$B$83")),CONCATENATE("*",$D71,"*"))=1,VLOOKUP(CONCATENATE("*",$D71,"*"),(INDIRECT("'"&amp;J$4&amp;"'!$B$4:$H$83")),7,FALSE),"")))</f>
        <v/>
      </c>
      <c r="K71" s="35" t="str">
        <f ca="1">IF($D71="","",(IF(COUNTIF((INDIRECT("'"&amp;K$4&amp;"'!$B$4:$B$83")),CONCATENATE("*",$D71,"*"))=1,VLOOKUP(CONCATENATE("*",$D71,"*"),(INDIRECT("'"&amp;K$4&amp;"'!$B$4:$H$83")),7,FALSE),"")))</f>
        <v/>
      </c>
      <c r="L71" s="35" t="str">
        <f ca="1">IF($D71="","",(IF(COUNTIF((INDIRECT("'"&amp;L$4&amp;"'!$B$4:$B$83")),CONCATENATE("*",$D71,"*"))=1,VLOOKUP(CONCATENATE("*",$D71,"*"),(INDIRECT("'"&amp;L$4&amp;"'!$B$4:$H$83")),7,FALSE),"")))</f>
        <v/>
      </c>
      <c r="M71" s="35" t="str">
        <f ca="1">IF($D71="","",(IF(COUNTIF((INDIRECT("'"&amp;M$4&amp;"'!$B$4:$B$83")),CONCATENATE("*",$D71,"*"))=1,VLOOKUP(CONCATENATE("*",$D71,"*"),(INDIRECT("'"&amp;M$4&amp;"'!$B$4:$H$83")),7,FALSE),"")))</f>
        <v/>
      </c>
      <c r="N71" s="31" t="str">
        <f>IF(O71&lt;&gt;"",MAX(F71:M71),"")</f>
        <v/>
      </c>
      <c r="O71" s="32"/>
      <c r="P71" s="32">
        <f ca="1">COUNTIF(F71:M71,"&gt;0")</f>
        <v>1</v>
      </c>
      <c r="Q71" s="37">
        <f t="array" aca="1" ref="Q71" ca="1">IF(COUNT(F71:N71)&gt;5,SUM(LARGE(F71:N71,{1,2,3,4,5})),SUM(F71:N71))</f>
        <v>24</v>
      </c>
    </row>
    <row r="72" spans="2:17" x14ac:dyDescent="0.35">
      <c r="B72" s="33">
        <f ca="1">IF(D72="","",RANK(Q72,$Q$5:$Q$91,0))</f>
        <v>68</v>
      </c>
      <c r="C72" s="32" cm="1">
        <f t="array" aca="1" ref="C72" ca="1">IF(E72="F",SUMPRODUCT(($E$5:$E$91=E72)*(Q72&lt;$Q$5:$Q$91))+1,"")</f>
        <v>20</v>
      </c>
      <c r="D72" s="30" t="s">
        <v>107</v>
      </c>
      <c r="E72" s="31" t="s">
        <v>49</v>
      </c>
      <c r="F72" s="35" t="str">
        <f ca="1">IF($D72="","",(IF(COUNTIF((INDIRECT("'"&amp;F$4&amp;"'!$B$4:$B$83")),CONCATENATE("*",$D72,"*"))=1,VLOOKUP(CONCATENATE("*",$D72,"*"),(INDIRECT("'"&amp;F$4&amp;"'!$B$4:$H$83")),7,FALSE),"")))</f>
        <v/>
      </c>
      <c r="G72" s="35" t="str">
        <f ca="1">IF($D72="","",(IF(COUNTIF((INDIRECT("'"&amp;G$4&amp;"'!$B$4:$B$83")),CONCATENATE("*",$D72,"*"))=1,VLOOKUP(CONCATENATE("*",$D72,"*"),(INDIRECT("'"&amp;G$4&amp;"'!$B$4:$H$83")),7,FALSE),"")))</f>
        <v/>
      </c>
      <c r="H72" s="35">
        <f ca="1">IF($D72="","",(IF(COUNTIF((INDIRECT("'"&amp;H$4&amp;"'!$B$4:$B$83")),CONCATENATE("*",$D72,"*"))=1,VLOOKUP(CONCATENATE("*",$D72,"*"),(INDIRECT("'"&amp;H$4&amp;"'!$B$4:$H$83")),7,FALSE),"")))</f>
        <v>23</v>
      </c>
      <c r="I72" s="35" t="str">
        <f ca="1">IF($D72="","",(IF(COUNTIF((INDIRECT("'"&amp;I$4&amp;"'!$B$4:$B$83")),CONCATENATE("*",$D72,"*"))=1,VLOOKUP(CONCATENATE("*",$D72,"*"),(INDIRECT("'"&amp;I$4&amp;"'!$B$4:$H$83")),7,FALSE),"")))</f>
        <v/>
      </c>
      <c r="J72" s="35" t="str">
        <f ca="1">IF($D72="","",(IF(COUNTIF((INDIRECT("'"&amp;J$4&amp;"'!$B$4:$B$83")),CONCATENATE("*",$D72,"*"))=1,VLOOKUP(CONCATENATE("*",$D72,"*"),(INDIRECT("'"&amp;J$4&amp;"'!$B$4:$H$83")),7,FALSE),"")))</f>
        <v/>
      </c>
      <c r="K72" s="35" t="str">
        <f ca="1">IF($D72="","",(IF(COUNTIF((INDIRECT("'"&amp;K$4&amp;"'!$B$4:$B$83")),CONCATENATE("*",$D72,"*"))=1,VLOOKUP(CONCATENATE("*",$D72,"*"),(INDIRECT("'"&amp;K$4&amp;"'!$B$4:$H$83")),7,FALSE),"")))</f>
        <v/>
      </c>
      <c r="L72" s="35" t="str">
        <f ca="1">IF($D72="","",(IF(COUNTIF((INDIRECT("'"&amp;L$4&amp;"'!$B$4:$B$83")),CONCATENATE("*",$D72,"*"))=1,VLOOKUP(CONCATENATE("*",$D72,"*"),(INDIRECT("'"&amp;L$4&amp;"'!$B$4:$H$83")),7,FALSE),"")))</f>
        <v/>
      </c>
      <c r="M72" s="35" t="str">
        <f ca="1">IF($D72="","",(IF(COUNTIF((INDIRECT("'"&amp;M$4&amp;"'!$B$4:$B$83")),CONCATENATE("*",$D72,"*"))=1,VLOOKUP(CONCATENATE("*",$D72,"*"),(INDIRECT("'"&amp;M$4&amp;"'!$B$4:$H$83")),7,FALSE),"")))</f>
        <v/>
      </c>
      <c r="N72" s="31" t="str">
        <f>IF(O72&lt;&gt;"",MAX(F72:M72),"")</f>
        <v/>
      </c>
      <c r="O72" s="32"/>
      <c r="P72" s="32">
        <f ca="1">COUNTIF(F72:M72,"&gt;0")</f>
        <v>1</v>
      </c>
      <c r="Q72" s="37">
        <f t="array" aca="1" ref="Q72" ca="1">IF(COUNT(F72:N72)&gt;5,SUM(LARGE(F72:N72,{1,2,3,4,5})),SUM(F72:N72))</f>
        <v>23</v>
      </c>
    </row>
    <row r="73" spans="2:17" x14ac:dyDescent="0.35">
      <c r="B73" s="33">
        <f ca="1">IF(D73="","",RANK(Q73,$Q$5:$Q$91,0))</f>
        <v>69</v>
      </c>
      <c r="C73" s="32" cm="1">
        <f t="array" aca="1" ref="C73" ca="1">IF(E73="F",SUMPRODUCT(($E$5:$E$91=E73)*(Q73&lt;$Q$5:$Q$91))+1,"")</f>
        <v>21</v>
      </c>
      <c r="D73" s="30" t="s">
        <v>71</v>
      </c>
      <c r="E73" s="31" t="s">
        <v>49</v>
      </c>
      <c r="F73" s="35">
        <f ca="1">IF($D73="","",(IF(COUNTIF((INDIRECT("'"&amp;F$4&amp;"'!$B$4:$B$83")),CONCATENATE("*",$D73,"*"))=1,VLOOKUP(CONCATENATE("*",$D73,"*"),(INDIRECT("'"&amp;F$4&amp;"'!$B$4:$H$83")),7,FALSE),"")))</f>
        <v>22</v>
      </c>
      <c r="G73" s="35" t="str">
        <f ca="1">IF($D73="","",(IF(COUNTIF((INDIRECT("'"&amp;G$4&amp;"'!$B$4:$B$83")),CONCATENATE("*",$D73,"*"))=1,VLOOKUP(CONCATENATE("*",$D73,"*"),(INDIRECT("'"&amp;G$4&amp;"'!$B$4:$H$83")),7,FALSE),"")))</f>
        <v/>
      </c>
      <c r="H73" s="35" t="str">
        <f ca="1">IF($D73="","",(IF(COUNTIF((INDIRECT("'"&amp;H$4&amp;"'!$B$4:$B$83")),CONCATENATE("*",$D73,"*"))=1,VLOOKUP(CONCATENATE("*",$D73,"*"),(INDIRECT("'"&amp;H$4&amp;"'!$B$4:$H$83")),7,FALSE),"")))</f>
        <v/>
      </c>
      <c r="I73" s="35" t="str">
        <f ca="1">IF($D73="","",(IF(COUNTIF((INDIRECT("'"&amp;I$4&amp;"'!$B$4:$B$83")),CONCATENATE("*",$D73,"*"))=1,VLOOKUP(CONCATENATE("*",$D73,"*"),(INDIRECT("'"&amp;I$4&amp;"'!$B$4:$H$83")),7,FALSE),"")))</f>
        <v/>
      </c>
      <c r="J73" s="35" t="str">
        <f ca="1">IF($D73="","",(IF(COUNTIF((INDIRECT("'"&amp;J$4&amp;"'!$B$4:$B$83")),CONCATENATE("*",$D73,"*"))=1,VLOOKUP(CONCATENATE("*",$D73,"*"),(INDIRECT("'"&amp;J$4&amp;"'!$B$4:$H$83")),7,FALSE),"")))</f>
        <v/>
      </c>
      <c r="K73" s="35" t="str">
        <f ca="1">IF($D73="","",(IF(COUNTIF((INDIRECT("'"&amp;K$4&amp;"'!$B$4:$B$83")),CONCATENATE("*",$D73,"*"))=1,VLOOKUP(CONCATENATE("*",$D73,"*"),(INDIRECT("'"&amp;K$4&amp;"'!$B$4:$H$83")),7,FALSE),"")))</f>
        <v/>
      </c>
      <c r="L73" s="35" t="str">
        <f ca="1">IF($D73="","",(IF(COUNTIF((INDIRECT("'"&amp;L$4&amp;"'!$B$4:$B$83")),CONCATENATE("*",$D73,"*"))=1,VLOOKUP(CONCATENATE("*",$D73,"*"),(INDIRECT("'"&amp;L$4&amp;"'!$B$4:$H$83")),7,FALSE),"")))</f>
        <v/>
      </c>
      <c r="M73" s="35" t="str">
        <f ca="1">IF($D73="","",(IF(COUNTIF((INDIRECT("'"&amp;M$4&amp;"'!$B$4:$B$83")),CONCATENATE("*",$D73,"*"))=1,VLOOKUP(CONCATENATE("*",$D73,"*"),(INDIRECT("'"&amp;M$4&amp;"'!$B$4:$H$83")),7,FALSE),"")))</f>
        <v/>
      </c>
      <c r="N73" s="32" t="str">
        <f>IF(O73&lt;&gt;"",MAX(F73:M73),"")</f>
        <v/>
      </c>
      <c r="O73" s="32"/>
      <c r="P73" s="32">
        <f ca="1">COUNTIF(F73:M73,"&gt;0")</f>
        <v>1</v>
      </c>
      <c r="Q73" s="37">
        <f t="array" aca="1" ref="Q73" ca="1">IF(COUNT(F73:N73)&gt;5,SUM(LARGE(F73:N73,{1,2,3,4,5})),SUM(F73:N73))</f>
        <v>22</v>
      </c>
    </row>
    <row r="74" spans="2:17" x14ac:dyDescent="0.35">
      <c r="B74" s="33">
        <f ca="1">IF(D74="","",RANK(Q74,$Q$5:$Q$91,0))</f>
        <v>69</v>
      </c>
      <c r="C74" s="32" cm="1">
        <f t="array" aca="1" ref="C74" ca="1">IF(E74="F",SUMPRODUCT(($E$5:$E$91=E74)*(Q74&lt;$Q$5:$Q$91))+1,"")</f>
        <v>21</v>
      </c>
      <c r="D74" s="30" t="s">
        <v>111</v>
      </c>
      <c r="E74" s="31" t="s">
        <v>49</v>
      </c>
      <c r="F74" s="35" t="str">
        <f ca="1">IF($D74="","",(IF(COUNTIF((INDIRECT("'"&amp;F$4&amp;"'!$B$4:$B$83")),CONCATENATE("*",$D74,"*"))=1,VLOOKUP(CONCATENATE("*",$D74,"*"),(INDIRECT("'"&amp;F$4&amp;"'!$B$4:$H$83")),7,FALSE),"")))</f>
        <v/>
      </c>
      <c r="G74" s="35" t="str">
        <f ca="1">IF($D74="","",(IF(COUNTIF((INDIRECT("'"&amp;G$4&amp;"'!$B$4:$B$83")),CONCATENATE("*",$D74,"*"))=1,VLOOKUP(CONCATENATE("*",$D74,"*"),(INDIRECT("'"&amp;G$4&amp;"'!$B$4:$H$83")),7,FALSE),"")))</f>
        <v/>
      </c>
      <c r="H74" s="35">
        <f ca="1">IF($D74="","",(IF(COUNTIF((INDIRECT("'"&amp;H$4&amp;"'!$B$4:$B$83")),CONCATENATE("*",$D74,"*"))=1,VLOOKUP(CONCATENATE("*",$D74,"*"),(INDIRECT("'"&amp;H$4&amp;"'!$B$4:$H$83")),7,FALSE),"")))</f>
        <v>10</v>
      </c>
      <c r="I74" s="35">
        <f ca="1">IF($D74="","",(IF(COUNTIF((INDIRECT("'"&amp;I$4&amp;"'!$B$4:$B$83")),CONCATENATE("*",$D74,"*"))=1,VLOOKUP(CONCATENATE("*",$D74,"*"),(INDIRECT("'"&amp;I$4&amp;"'!$B$4:$H$83")),7,FALSE),"")))</f>
        <v>12</v>
      </c>
      <c r="J74" s="35" t="str">
        <f ca="1">IF($D74="","",(IF(COUNTIF((INDIRECT("'"&amp;J$4&amp;"'!$B$4:$B$83")),CONCATENATE("*",$D74,"*"))=1,VLOOKUP(CONCATENATE("*",$D74,"*"),(INDIRECT("'"&amp;J$4&amp;"'!$B$4:$H$83")),7,FALSE),"")))</f>
        <v/>
      </c>
      <c r="K74" s="35" t="str">
        <f ca="1">IF($D74="","",(IF(COUNTIF((INDIRECT("'"&amp;K$4&amp;"'!$B$4:$B$83")),CONCATENATE("*",$D74,"*"))=1,VLOOKUP(CONCATENATE("*",$D74,"*"),(INDIRECT("'"&amp;K$4&amp;"'!$B$4:$H$83")),7,FALSE),"")))</f>
        <v/>
      </c>
      <c r="L74" s="35" t="str">
        <f ca="1">IF($D74="","",(IF(COUNTIF((INDIRECT("'"&amp;L$4&amp;"'!$B$4:$B$83")),CONCATENATE("*",$D74,"*"))=1,VLOOKUP(CONCATENATE("*",$D74,"*"),(INDIRECT("'"&amp;L$4&amp;"'!$B$4:$H$83")),7,FALSE),"")))</f>
        <v/>
      </c>
      <c r="M74" s="35" t="str">
        <f ca="1">IF($D74="","",(IF(COUNTIF((INDIRECT("'"&amp;M$4&amp;"'!$B$4:$B$83")),CONCATENATE("*",$D74,"*"))=1,VLOOKUP(CONCATENATE("*",$D74,"*"),(INDIRECT("'"&amp;M$4&amp;"'!$B$4:$H$83")),7,FALSE),"")))</f>
        <v/>
      </c>
      <c r="N74" s="31" t="str">
        <f>IF(O74&lt;&gt;"",MAX(F74:M74),"")</f>
        <v/>
      </c>
      <c r="O74" s="32"/>
      <c r="P74" s="32">
        <f ca="1">COUNTIF(F74:M74,"&gt;0")</f>
        <v>2</v>
      </c>
      <c r="Q74" s="37">
        <f t="array" aca="1" ref="Q74" ca="1">IF(COUNT(F74:N74)&gt;5,SUM(LARGE(F74:N74,{1,2,3,4,5})),SUM(F74:N74))</f>
        <v>22</v>
      </c>
    </row>
    <row r="75" spans="2:17" x14ac:dyDescent="0.35">
      <c r="B75" s="33">
        <f ca="1">IF(D75="","",RANK(Q75,$Q$5:$Q$91,0))</f>
        <v>69</v>
      </c>
      <c r="C75" s="32" t="str" cm="1">
        <f t="array" ref="C75">IF(E75="F",SUMPRODUCT(($E$5:$E$91=E75)*(Q75&lt;$Q$5:$Q$91))+1,"")</f>
        <v/>
      </c>
      <c r="D75" s="30" t="s">
        <v>128</v>
      </c>
      <c r="E75" s="31"/>
      <c r="F75" s="35" t="str">
        <f ca="1">IF($D75="","",(IF(COUNTIF((INDIRECT("'"&amp;F$4&amp;"'!$B$4:$B$83")),CONCATENATE("*",$D75,"*"))=1,VLOOKUP(CONCATENATE("*",$D75,"*"),(INDIRECT("'"&amp;F$4&amp;"'!$B$4:$H$83")),7,FALSE),"")))</f>
        <v/>
      </c>
      <c r="G75" s="35" t="str">
        <f ca="1">IF($D75="","",(IF(COUNTIF((INDIRECT("'"&amp;G$4&amp;"'!$B$4:$B$83")),CONCATENATE("*",$D75,"*"))=1,VLOOKUP(CONCATENATE("*",$D75,"*"),(INDIRECT("'"&amp;G$4&amp;"'!$B$4:$H$83")),7,FALSE),"")))</f>
        <v/>
      </c>
      <c r="H75" s="35" t="str">
        <f ca="1">IF($D75="","",(IF(COUNTIF((INDIRECT("'"&amp;H$4&amp;"'!$B$4:$B$83")),CONCATENATE("*",$D75,"*"))=1,VLOOKUP(CONCATENATE("*",$D75,"*"),(INDIRECT("'"&amp;H$4&amp;"'!$B$4:$H$83")),7,FALSE),"")))</f>
        <v/>
      </c>
      <c r="I75" s="35">
        <f ca="1">IF($D75="","",(IF(COUNTIF((INDIRECT("'"&amp;I$4&amp;"'!$B$4:$B$83")),CONCATENATE("*",$D75,"*"))=1,VLOOKUP(CONCATENATE("*",$D75,"*"),(INDIRECT("'"&amp;I$4&amp;"'!$B$4:$H$83")),7,FALSE),"")))</f>
        <v>22</v>
      </c>
      <c r="J75" s="35" t="str">
        <f ca="1">IF($D75="","",(IF(COUNTIF((INDIRECT("'"&amp;J$4&amp;"'!$B$4:$B$83")),CONCATENATE("*",$D75,"*"))=1,VLOOKUP(CONCATENATE("*",$D75,"*"),(INDIRECT("'"&amp;J$4&amp;"'!$B$4:$H$83")),7,FALSE),"")))</f>
        <v/>
      </c>
      <c r="K75" s="35" t="str">
        <f ca="1">IF($D75="","",(IF(COUNTIF((INDIRECT("'"&amp;K$4&amp;"'!$B$4:$B$83")),CONCATENATE("*",$D75,"*"))=1,VLOOKUP(CONCATENATE("*",$D75,"*"),(INDIRECT("'"&amp;K$4&amp;"'!$B$4:$H$83")),7,FALSE),"")))</f>
        <v/>
      </c>
      <c r="L75" s="35" t="str">
        <f ca="1">IF($D75="","",(IF(COUNTIF((INDIRECT("'"&amp;L$4&amp;"'!$B$4:$B$83")),CONCATENATE("*",$D75,"*"))=1,VLOOKUP(CONCATENATE("*",$D75,"*"),(INDIRECT("'"&amp;L$4&amp;"'!$B$4:$H$83")),7,FALSE),"")))</f>
        <v/>
      </c>
      <c r="M75" s="35" t="str">
        <f ca="1">IF($D75="","",(IF(COUNTIF((INDIRECT("'"&amp;M$4&amp;"'!$B$4:$B$83")),CONCATENATE("*",$D75,"*"))=1,VLOOKUP(CONCATENATE("*",$D75,"*"),(INDIRECT("'"&amp;M$4&amp;"'!$B$4:$H$83")),7,FALSE),"")))</f>
        <v/>
      </c>
      <c r="N75" s="31" t="str">
        <f>IF(O75&lt;&gt;"",MAX(F75:M75),"")</f>
        <v/>
      </c>
      <c r="O75" s="32"/>
      <c r="P75" s="32">
        <f ca="1">COUNTIF(F75:M75,"&gt;0")</f>
        <v>1</v>
      </c>
      <c r="Q75" s="37">
        <f t="array" aca="1" ref="Q75" ca="1">IF(COUNT(F75:N75)&gt;5,SUM(LARGE(F75:N75,{1,2,3,4,5})),SUM(F75:N75))</f>
        <v>22</v>
      </c>
    </row>
    <row r="76" spans="2:17" x14ac:dyDescent="0.35">
      <c r="B76" s="33">
        <f ca="1">IF(D76="","",RANK(Q76,$Q$5:$Q$91,0))</f>
        <v>72</v>
      </c>
      <c r="C76" s="32" cm="1">
        <f t="array" aca="1" ref="C76" ca="1">IF(E76="F",SUMPRODUCT(($E$5:$E$91=E76)*(Q76&lt;$Q$5:$Q$91))+1,"")</f>
        <v>23</v>
      </c>
      <c r="D76" s="30" t="s">
        <v>88</v>
      </c>
      <c r="E76" s="31" t="s">
        <v>49</v>
      </c>
      <c r="F76" s="35" t="str">
        <f ca="1">IF($D76="","",(IF(COUNTIF((INDIRECT("'"&amp;F$4&amp;"'!$B$4:$B$83")),CONCATENATE("*",$D76,"*"))=1,VLOOKUP(CONCATENATE("*",$D76,"*"),(INDIRECT("'"&amp;F$4&amp;"'!$B$4:$H$83")),7,FALSE),"")))</f>
        <v/>
      </c>
      <c r="G76" s="35">
        <f ca="1">IF($D76="","",(IF(COUNTIF((INDIRECT("'"&amp;G$4&amp;"'!$B$4:$B$83")),CONCATENATE("*",$D76,"*"))=1,VLOOKUP(CONCATENATE("*",$D76,"*"),(INDIRECT("'"&amp;G$4&amp;"'!$B$4:$H$83")),7,FALSE),"")))</f>
        <v>21</v>
      </c>
      <c r="H76" s="35" t="str">
        <f ca="1">IF($D76="","",(IF(COUNTIF((INDIRECT("'"&amp;H$4&amp;"'!$B$4:$B$83")),CONCATENATE("*",$D76,"*"))=1,VLOOKUP(CONCATENATE("*",$D76,"*"),(INDIRECT("'"&amp;H$4&amp;"'!$B$4:$H$83")),7,FALSE),"")))</f>
        <v/>
      </c>
      <c r="I76" s="35" t="str">
        <f ca="1">IF($D76="","",(IF(COUNTIF((INDIRECT("'"&amp;I$4&amp;"'!$B$4:$B$83")),CONCATENATE("*",$D76,"*"))=1,VLOOKUP(CONCATENATE("*",$D76,"*"),(INDIRECT("'"&amp;I$4&amp;"'!$B$4:$H$83")),7,FALSE),"")))</f>
        <v/>
      </c>
      <c r="J76" s="35" t="str">
        <f ca="1">IF($D76="","",(IF(COUNTIF((INDIRECT("'"&amp;J$4&amp;"'!$B$4:$B$83")),CONCATENATE("*",$D76,"*"))=1,VLOOKUP(CONCATENATE("*",$D76,"*"),(INDIRECT("'"&amp;J$4&amp;"'!$B$4:$H$83")),7,FALSE),"")))</f>
        <v/>
      </c>
      <c r="K76" s="35" t="str">
        <f ca="1">IF($D76="","",(IF(COUNTIF((INDIRECT("'"&amp;K$4&amp;"'!$B$4:$B$83")),CONCATENATE("*",$D76,"*"))=1,VLOOKUP(CONCATENATE("*",$D76,"*"),(INDIRECT("'"&amp;K$4&amp;"'!$B$4:$H$83")),7,FALSE),"")))</f>
        <v/>
      </c>
      <c r="L76" s="35" t="str">
        <f ca="1">IF($D76="","",(IF(COUNTIF((INDIRECT("'"&amp;L$4&amp;"'!$B$4:$B$83")),CONCATENATE("*",$D76,"*"))=1,VLOOKUP(CONCATENATE("*",$D76,"*"),(INDIRECT("'"&amp;L$4&amp;"'!$B$4:$H$83")),7,FALSE),"")))</f>
        <v/>
      </c>
      <c r="M76" s="35" t="str">
        <f ca="1">IF($D76="","",(IF(COUNTIF((INDIRECT("'"&amp;M$4&amp;"'!$B$4:$B$83")),CONCATENATE("*",$D76,"*"))=1,VLOOKUP(CONCATENATE("*",$D76,"*"),(INDIRECT("'"&amp;M$4&amp;"'!$B$4:$H$83")),7,FALSE),"")))</f>
        <v/>
      </c>
      <c r="N76" s="31" t="str">
        <f>IF(O76&lt;&gt;"",MAX(F76:M76),"")</f>
        <v/>
      </c>
      <c r="O76" s="32"/>
      <c r="P76" s="32">
        <f ca="1">COUNTIF(F76:M76,"&gt;0")</f>
        <v>1</v>
      </c>
      <c r="Q76" s="37">
        <f t="array" aca="1" ref="Q76" ca="1">IF(COUNT(F76:N76)&gt;5,SUM(LARGE(F76:N76,{1,2,3,4,5})),SUM(F76:N76))</f>
        <v>21</v>
      </c>
    </row>
    <row r="77" spans="2:17" x14ac:dyDescent="0.35">
      <c r="B77" s="33">
        <f ca="1">IF(D77="","",RANK(Q77,$Q$5:$Q$91,0))</f>
        <v>72</v>
      </c>
      <c r="C77" s="32" t="str" cm="1">
        <f t="array" ref="C77">IF(E77="F",SUMPRODUCT(($E$5:$E$91=E77)*(Q77&lt;$Q$5:$Q$91))+1,"")</f>
        <v/>
      </c>
      <c r="D77" s="30" t="s">
        <v>129</v>
      </c>
      <c r="E77" s="31"/>
      <c r="F77" s="35" t="str">
        <f ca="1">IF($D77="","",(IF(COUNTIF((INDIRECT("'"&amp;F$4&amp;"'!$B$4:$B$83")),CONCATENATE("*",$D77,"*"))=1,VLOOKUP(CONCATENATE("*",$D77,"*"),(INDIRECT("'"&amp;F$4&amp;"'!$B$4:$H$83")),7,FALSE),"")))</f>
        <v/>
      </c>
      <c r="G77" s="35" t="str">
        <f ca="1">IF($D77="","",(IF(COUNTIF((INDIRECT("'"&amp;G$4&amp;"'!$B$4:$B$83")),CONCATENATE("*",$D77,"*"))=1,VLOOKUP(CONCATENATE("*",$D77,"*"),(INDIRECT("'"&amp;G$4&amp;"'!$B$4:$H$83")),7,FALSE),"")))</f>
        <v/>
      </c>
      <c r="H77" s="35" t="str">
        <f ca="1">IF($D77="","",(IF(COUNTIF((INDIRECT("'"&amp;H$4&amp;"'!$B$4:$B$83")),CONCATENATE("*",$D77,"*"))=1,VLOOKUP(CONCATENATE("*",$D77,"*"),(INDIRECT("'"&amp;H$4&amp;"'!$B$4:$H$83")),7,FALSE),"")))</f>
        <v/>
      </c>
      <c r="I77" s="35">
        <f ca="1">IF($D77="","",(IF(COUNTIF((INDIRECT("'"&amp;I$4&amp;"'!$B$4:$B$83")),CONCATENATE("*",$D77,"*"))=1,VLOOKUP(CONCATENATE("*",$D77,"*"),(INDIRECT("'"&amp;I$4&amp;"'!$B$4:$H$83")),7,FALSE),"")))</f>
        <v>21</v>
      </c>
      <c r="J77" s="35" t="str">
        <f ca="1">IF($D77="","",(IF(COUNTIF((INDIRECT("'"&amp;J$4&amp;"'!$B$4:$B$83")),CONCATENATE("*",$D77,"*"))=1,VLOOKUP(CONCATENATE("*",$D77,"*"),(INDIRECT("'"&amp;J$4&amp;"'!$B$4:$H$83")),7,FALSE),"")))</f>
        <v/>
      </c>
      <c r="K77" s="35" t="str">
        <f ca="1">IF($D77="","",(IF(COUNTIF((INDIRECT("'"&amp;K$4&amp;"'!$B$4:$B$83")),CONCATENATE("*",$D77,"*"))=1,VLOOKUP(CONCATENATE("*",$D77,"*"),(INDIRECT("'"&amp;K$4&amp;"'!$B$4:$H$83")),7,FALSE),"")))</f>
        <v/>
      </c>
      <c r="L77" s="35" t="str">
        <f ca="1">IF($D77="","",(IF(COUNTIF((INDIRECT("'"&amp;L$4&amp;"'!$B$4:$B$83")),CONCATENATE("*",$D77,"*"))=1,VLOOKUP(CONCATENATE("*",$D77,"*"),(INDIRECT("'"&amp;L$4&amp;"'!$B$4:$H$83")),7,FALSE),"")))</f>
        <v/>
      </c>
      <c r="M77" s="35" t="str">
        <f ca="1">IF($D77="","",(IF(COUNTIF((INDIRECT("'"&amp;M$4&amp;"'!$B$4:$B$83")),CONCATENATE("*",$D77,"*"))=1,VLOOKUP(CONCATENATE("*",$D77,"*"),(INDIRECT("'"&amp;M$4&amp;"'!$B$4:$H$83")),7,FALSE),"")))</f>
        <v/>
      </c>
      <c r="N77" s="31" t="str">
        <f>IF(O77&lt;&gt;"",MAX(F77:M77),"")</f>
        <v/>
      </c>
      <c r="O77" s="32"/>
      <c r="P77" s="32">
        <f ca="1">COUNTIF(F77:M77,"&gt;0")</f>
        <v>1</v>
      </c>
      <c r="Q77" s="37">
        <f t="array" aca="1" ref="Q77" ca="1">IF(COUNT(F77:N77)&gt;5,SUM(LARGE(F77:N77,{1,2,3,4,5})),SUM(F77:N77))</f>
        <v>21</v>
      </c>
    </row>
    <row r="78" spans="2:17" x14ac:dyDescent="0.35">
      <c r="B78" s="33">
        <f ca="1">IF(D78="","",RANK(Q78,$Q$5:$Q$91,0))</f>
        <v>74</v>
      </c>
      <c r="C78" s="32" cm="1">
        <f t="array" aca="1" ref="C78" ca="1">IF(E78="F",SUMPRODUCT(($E$5:$E$91=E78)*(Q78&lt;$Q$5:$Q$91))+1,"")</f>
        <v>24</v>
      </c>
      <c r="D78" s="29" t="s">
        <v>32</v>
      </c>
      <c r="E78" s="32" t="s">
        <v>49</v>
      </c>
      <c r="F78" s="35">
        <f ca="1">IF($D78="","",(IF(COUNTIF((INDIRECT("'"&amp;F$4&amp;"'!$B$4:$B$83")),CONCATENATE("*",$D78,"*"))=1,VLOOKUP(CONCATENATE("*",$D78,"*"),(INDIRECT("'"&amp;F$4&amp;"'!$B$4:$H$83")),7,FALSE),"")))</f>
        <v>20</v>
      </c>
      <c r="G78" s="35" t="str">
        <f ca="1">IF($D78="","",(IF(COUNTIF((INDIRECT("'"&amp;G$4&amp;"'!$B$4:$B$83")),CONCATENATE("*",$D78,"*"))=1,VLOOKUP(CONCATENATE("*",$D78,"*"),(INDIRECT("'"&amp;G$4&amp;"'!$B$4:$H$83")),7,FALSE),"")))</f>
        <v/>
      </c>
      <c r="H78" s="35" t="str">
        <f ca="1">IF($D78="","",(IF(COUNTIF((INDIRECT("'"&amp;H$4&amp;"'!$B$4:$B$83")),CONCATENATE("*",$D78,"*"))=1,VLOOKUP(CONCATENATE("*",$D78,"*"),(INDIRECT("'"&amp;H$4&amp;"'!$B$4:$H$83")),7,FALSE),"")))</f>
        <v/>
      </c>
      <c r="I78" s="35" t="str">
        <f ca="1">IF($D78="","",(IF(COUNTIF((INDIRECT("'"&amp;I$4&amp;"'!$B$4:$B$83")),CONCATENATE("*",$D78,"*"))=1,VLOOKUP(CONCATENATE("*",$D78,"*"),(INDIRECT("'"&amp;I$4&amp;"'!$B$4:$H$83")),7,FALSE),"")))</f>
        <v/>
      </c>
      <c r="J78" s="35" t="str">
        <f ca="1">IF($D78="","",(IF(COUNTIF((INDIRECT("'"&amp;J$4&amp;"'!$B$4:$B$83")),CONCATENATE("*",$D78,"*"))=1,VLOOKUP(CONCATENATE("*",$D78,"*"),(INDIRECT("'"&amp;J$4&amp;"'!$B$4:$H$83")),7,FALSE),"")))</f>
        <v/>
      </c>
      <c r="K78" s="35" t="str">
        <f ca="1">IF($D78="","",(IF(COUNTIF((INDIRECT("'"&amp;K$4&amp;"'!$B$4:$B$83")),CONCATENATE("*",$D78,"*"))=1,VLOOKUP(CONCATENATE("*",$D78,"*"),(INDIRECT("'"&amp;K$4&amp;"'!$B$4:$H$83")),7,FALSE),"")))</f>
        <v/>
      </c>
      <c r="L78" s="35" t="str">
        <f ca="1">IF($D78="","",(IF(COUNTIF((INDIRECT("'"&amp;L$4&amp;"'!$B$4:$B$83")),CONCATENATE("*",$D78,"*"))=1,VLOOKUP(CONCATENATE("*",$D78,"*"),(INDIRECT("'"&amp;L$4&amp;"'!$B$4:$H$83")),7,FALSE),"")))</f>
        <v/>
      </c>
      <c r="M78" s="35" t="str">
        <f ca="1">IF($D78="","",(IF(COUNTIF((INDIRECT("'"&amp;M$4&amp;"'!$B$4:$B$83")),CONCATENATE("*",$D78,"*"))=1,VLOOKUP(CONCATENATE("*",$D78,"*"),(INDIRECT("'"&amp;M$4&amp;"'!$B$4:$H$83")),7,FALSE),"")))</f>
        <v/>
      </c>
      <c r="N78" s="32" t="str">
        <f>IF(O78&lt;&gt;"",MAX(F78:M78),"")</f>
        <v/>
      </c>
      <c r="O78" s="32"/>
      <c r="P78" s="32">
        <f ca="1">COUNTIF(F78:M78,"&gt;0")</f>
        <v>1</v>
      </c>
      <c r="Q78" s="37">
        <f t="array" aca="1" ref="Q78" ca="1">IF(COUNT(F78:N78)&gt;5,SUM(LARGE(F78:N78,{1,2,3,4,5})),SUM(F78:N78))</f>
        <v>20</v>
      </c>
    </row>
    <row r="79" spans="2:17" x14ac:dyDescent="0.35">
      <c r="B79" s="33">
        <f ca="1">IF(D79="","",RANK(Q79,$Q$5:$Q$91,0))</f>
        <v>74</v>
      </c>
      <c r="C79" s="32" cm="1">
        <f t="array" aca="1" ref="C79" ca="1">IF(E79="F",SUMPRODUCT(($E$5:$E$91=E79)*(Q79&lt;$Q$5:$Q$91))+1,"")</f>
        <v>24</v>
      </c>
      <c r="D79" s="30" t="s">
        <v>96</v>
      </c>
      <c r="E79" s="31" t="s">
        <v>49</v>
      </c>
      <c r="F79" s="35" t="str">
        <f ca="1">IF($D79="","",(IF(COUNTIF((INDIRECT("'"&amp;F$4&amp;"'!$B$4:$B$83")),CONCATENATE("*",$D79,"*"))=1,VLOOKUP(CONCATENATE("*",$D79,"*"),(INDIRECT("'"&amp;F$4&amp;"'!$B$4:$H$83")),7,FALSE),"")))</f>
        <v/>
      </c>
      <c r="G79" s="35">
        <f ca="1">IF($D79="","",(IF(COUNTIF((INDIRECT("'"&amp;G$4&amp;"'!$B$4:$B$83")),CONCATENATE("*",$D79,"*"))=1,VLOOKUP(CONCATENATE("*",$D79,"*"),(INDIRECT("'"&amp;G$4&amp;"'!$B$4:$H$83")),7,FALSE),"")))</f>
        <v>8</v>
      </c>
      <c r="H79" s="35">
        <f ca="1">IF($D79="","",(IF(COUNTIF((INDIRECT("'"&amp;H$4&amp;"'!$B$4:$B$83")),CONCATENATE("*",$D79,"*"))=1,VLOOKUP(CONCATENATE("*",$D79,"*"),(INDIRECT("'"&amp;H$4&amp;"'!$B$4:$H$83")),7,FALSE),"")))</f>
        <v>6</v>
      </c>
      <c r="I79" s="35">
        <f ca="1">IF($D79="","",(IF(COUNTIF((INDIRECT("'"&amp;I$4&amp;"'!$B$4:$B$83")),CONCATENATE("*",$D79,"*"))=1,VLOOKUP(CONCATENATE("*",$D79,"*"),(INDIRECT("'"&amp;I$4&amp;"'!$B$4:$H$83")),7,FALSE),"")))</f>
        <v>6</v>
      </c>
      <c r="J79" s="35" t="str">
        <f ca="1">IF($D79="","",(IF(COUNTIF((INDIRECT("'"&amp;J$4&amp;"'!$B$4:$B$83")),CONCATENATE("*",$D79,"*"))=1,VLOOKUP(CONCATENATE("*",$D79,"*"),(INDIRECT("'"&amp;J$4&amp;"'!$B$4:$H$83")),7,FALSE),"")))</f>
        <v/>
      </c>
      <c r="K79" s="35" t="str">
        <f ca="1">IF($D79="","",(IF(COUNTIF((INDIRECT("'"&amp;K$4&amp;"'!$B$4:$B$83")),CONCATENATE("*",$D79,"*"))=1,VLOOKUP(CONCATENATE("*",$D79,"*"),(INDIRECT("'"&amp;K$4&amp;"'!$B$4:$H$83")),7,FALSE),"")))</f>
        <v/>
      </c>
      <c r="L79" s="35" t="str">
        <f ca="1">IF($D79="","",(IF(COUNTIF((INDIRECT("'"&amp;L$4&amp;"'!$B$4:$B$83")),CONCATENATE("*",$D79,"*"))=1,VLOOKUP(CONCATENATE("*",$D79,"*"),(INDIRECT("'"&amp;L$4&amp;"'!$B$4:$H$83")),7,FALSE),"")))</f>
        <v/>
      </c>
      <c r="M79" s="35" t="str">
        <f ca="1">IF($D79="","",(IF(COUNTIF((INDIRECT("'"&amp;M$4&amp;"'!$B$4:$B$83")),CONCATENATE("*",$D79,"*"))=1,VLOOKUP(CONCATENATE("*",$D79,"*"),(INDIRECT("'"&amp;M$4&amp;"'!$B$4:$H$83")),7,FALSE),"")))</f>
        <v/>
      </c>
      <c r="N79" s="31" t="str">
        <f>IF(O79&lt;&gt;"",MAX(F79:M79),"")</f>
        <v/>
      </c>
      <c r="O79" s="32"/>
      <c r="P79" s="32">
        <f ca="1">COUNTIF(F79:M79,"&gt;0")</f>
        <v>3</v>
      </c>
      <c r="Q79" s="37">
        <f t="array" aca="1" ref="Q79" ca="1">IF(COUNT(F79:N79)&gt;5,SUM(LARGE(F79:N79,{1,2,3,4,5})),SUM(F79:N79))</f>
        <v>20</v>
      </c>
    </row>
    <row r="80" spans="2:17" x14ac:dyDescent="0.35">
      <c r="B80" s="33">
        <f ca="1">IF(D80="","",RANK(Q80,$Q$5:$Q$91,0))</f>
        <v>76</v>
      </c>
      <c r="C80" s="32" t="str" cm="1">
        <f t="array" ref="C80">IF(E80="F",SUMPRODUCT(($E$5:$E$91=E80)*(Q80&lt;$Q$5:$Q$91))+1,"")</f>
        <v/>
      </c>
      <c r="D80" s="30" t="s">
        <v>116</v>
      </c>
      <c r="E80" s="31"/>
      <c r="F80" s="35" t="str">
        <f ca="1">IF($D80="","",(IF(COUNTIF((INDIRECT("'"&amp;F$4&amp;"'!$B$4:$B$83")),CONCATENATE("*",$D80,"*"))=1,VLOOKUP(CONCATENATE("*",$D80,"*"),(INDIRECT("'"&amp;F$4&amp;"'!$B$4:$H$83")),7,FALSE),"")))</f>
        <v/>
      </c>
      <c r="G80" s="35" t="str">
        <f ca="1">IF($D80="","",(IF(COUNTIF((INDIRECT("'"&amp;G$4&amp;"'!$B$4:$B$83")),CONCATENATE("*",$D80,"*"))=1,VLOOKUP(CONCATENATE("*",$D80,"*"),(INDIRECT("'"&amp;G$4&amp;"'!$B$4:$H$83")),7,FALSE),"")))</f>
        <v/>
      </c>
      <c r="H80" s="35">
        <f ca="1">IF($D80="","",(IF(COUNTIF((INDIRECT("'"&amp;H$4&amp;"'!$B$4:$B$83")),CONCATENATE("*",$D80,"*"))=1,VLOOKUP(CONCATENATE("*",$D80,"*"),(INDIRECT("'"&amp;H$4&amp;"'!$B$4:$H$83")),7,FALSE),"")))</f>
        <v>19</v>
      </c>
      <c r="I80" s="35" t="str">
        <f ca="1">IF($D80="","",(IF(COUNTIF((INDIRECT("'"&amp;I$4&amp;"'!$B$4:$B$83")),CONCATENATE("*",$D80,"*"))=1,VLOOKUP(CONCATENATE("*",$D80,"*"),(INDIRECT("'"&amp;I$4&amp;"'!$B$4:$H$83")),7,FALSE),"")))</f>
        <v/>
      </c>
      <c r="J80" s="35" t="str">
        <f ca="1">IF($D80="","",(IF(COUNTIF((INDIRECT("'"&amp;J$4&amp;"'!$B$4:$B$83")),CONCATENATE("*",$D80,"*"))=1,VLOOKUP(CONCATENATE("*",$D80,"*"),(INDIRECT("'"&amp;J$4&amp;"'!$B$4:$H$83")),7,FALSE),"")))</f>
        <v/>
      </c>
      <c r="K80" s="35" t="str">
        <f ca="1">IF($D80="","",(IF(COUNTIF((INDIRECT("'"&amp;K$4&amp;"'!$B$4:$B$83")),CONCATENATE("*",$D80,"*"))=1,VLOOKUP(CONCATENATE("*",$D80,"*"),(INDIRECT("'"&amp;K$4&amp;"'!$B$4:$H$83")),7,FALSE),"")))</f>
        <v/>
      </c>
      <c r="L80" s="35" t="str">
        <f ca="1">IF($D80="","",(IF(COUNTIF((INDIRECT("'"&amp;L$4&amp;"'!$B$4:$B$83")),CONCATENATE("*",$D80,"*"))=1,VLOOKUP(CONCATENATE("*",$D80,"*"),(INDIRECT("'"&amp;L$4&amp;"'!$B$4:$H$83")),7,FALSE),"")))</f>
        <v/>
      </c>
      <c r="M80" s="35" t="str">
        <f ca="1">IF($D80="","",(IF(COUNTIF((INDIRECT("'"&amp;M$4&amp;"'!$B$4:$B$83")),CONCATENATE("*",$D80,"*"))=1,VLOOKUP(CONCATENATE("*",$D80,"*"),(INDIRECT("'"&amp;M$4&amp;"'!$B$4:$H$83")),7,FALSE),"")))</f>
        <v/>
      </c>
      <c r="N80" s="31" t="str">
        <f>IF(O80&lt;&gt;"",MAX(F80:M80),"")</f>
        <v/>
      </c>
      <c r="O80" s="32"/>
      <c r="P80" s="32">
        <f ca="1">COUNTIF(F80:M80,"&gt;0")</f>
        <v>1</v>
      </c>
      <c r="Q80" s="37">
        <f t="array" aca="1" ref="Q80" ca="1">IF(COUNT(F80:N80)&gt;5,SUM(LARGE(F80:N80,{1,2,3,4,5})),SUM(F80:N80))</f>
        <v>19</v>
      </c>
    </row>
    <row r="81" spans="2:17" x14ac:dyDescent="0.35">
      <c r="B81" s="33">
        <f ca="1">IF(D81="","",RANK(Q81,$Q$5:$Q$91,0))</f>
        <v>76</v>
      </c>
      <c r="C81" s="32" cm="1">
        <f t="array" aca="1" ref="C81" ca="1">IF(E81="F",SUMPRODUCT(($E$5:$E$91=E81)*(Q81&lt;$Q$5:$Q$91))+1,"")</f>
        <v>26</v>
      </c>
      <c r="D81" s="30" t="s">
        <v>110</v>
      </c>
      <c r="E81" s="31" t="s">
        <v>49</v>
      </c>
      <c r="F81" s="35" t="str">
        <f ca="1">IF($D81="","",(IF(COUNTIF((INDIRECT("'"&amp;F$4&amp;"'!$B$4:$B$83")),CONCATENATE("*",$D81,"*"))=1,VLOOKUP(CONCATENATE("*",$D81,"*"),(INDIRECT("'"&amp;F$4&amp;"'!$B$4:$H$83")),7,FALSE),"")))</f>
        <v/>
      </c>
      <c r="G81" s="35" t="str">
        <f ca="1">IF($D81="","",(IF(COUNTIF((INDIRECT("'"&amp;G$4&amp;"'!$B$4:$B$83")),CONCATENATE("*",$D81,"*"))=1,VLOOKUP(CONCATENATE("*",$D81,"*"),(INDIRECT("'"&amp;G$4&amp;"'!$B$4:$H$83")),7,FALSE),"")))</f>
        <v/>
      </c>
      <c r="H81" s="35">
        <f ca="1">IF($D81="","",(IF(COUNTIF((INDIRECT("'"&amp;H$4&amp;"'!$B$4:$B$83")),CONCATENATE("*",$D81,"*"))=1,VLOOKUP(CONCATENATE("*",$D81,"*"),(INDIRECT("'"&amp;H$4&amp;"'!$B$4:$H$83")),7,FALSE),"")))</f>
        <v>12</v>
      </c>
      <c r="I81" s="35">
        <f ca="1">IF($D81="","",(IF(COUNTIF((INDIRECT("'"&amp;I$4&amp;"'!$B$4:$B$83")),CONCATENATE("*",$D81,"*"))=1,VLOOKUP(CONCATENATE("*",$D81,"*"),(INDIRECT("'"&amp;I$4&amp;"'!$B$4:$H$83")),7,FALSE),"")))</f>
        <v>7</v>
      </c>
      <c r="J81" s="35" t="str">
        <f ca="1">IF($D81="","",(IF(COUNTIF((INDIRECT("'"&amp;J$4&amp;"'!$B$4:$B$83")),CONCATENATE("*",$D81,"*"))=1,VLOOKUP(CONCATENATE("*",$D81,"*"),(INDIRECT("'"&amp;J$4&amp;"'!$B$4:$H$83")),7,FALSE),"")))</f>
        <v/>
      </c>
      <c r="K81" s="35" t="str">
        <f ca="1">IF($D81="","",(IF(COUNTIF((INDIRECT("'"&amp;K$4&amp;"'!$B$4:$B$83")),CONCATENATE("*",$D81,"*"))=1,VLOOKUP(CONCATENATE("*",$D81,"*"),(INDIRECT("'"&amp;K$4&amp;"'!$B$4:$H$83")),7,FALSE),"")))</f>
        <v/>
      </c>
      <c r="L81" s="35" t="str">
        <f ca="1">IF($D81="","",(IF(COUNTIF((INDIRECT("'"&amp;L$4&amp;"'!$B$4:$B$83")),CONCATENATE("*",$D81,"*"))=1,VLOOKUP(CONCATENATE("*",$D81,"*"),(INDIRECT("'"&amp;L$4&amp;"'!$B$4:$H$83")),7,FALSE),"")))</f>
        <v/>
      </c>
      <c r="M81" s="35" t="str">
        <f ca="1">IF($D81="","",(IF(COUNTIF((INDIRECT("'"&amp;M$4&amp;"'!$B$4:$B$83")),CONCATENATE("*",$D81,"*"))=1,VLOOKUP(CONCATENATE("*",$D81,"*"),(INDIRECT("'"&amp;M$4&amp;"'!$B$4:$H$83")),7,FALSE),"")))</f>
        <v/>
      </c>
      <c r="N81" s="31" t="str">
        <f>IF(O81&lt;&gt;"",MAX(F81:M81),"")</f>
        <v/>
      </c>
      <c r="O81" s="32"/>
      <c r="P81" s="32">
        <f ca="1">COUNTIF(F81:M81,"&gt;0")</f>
        <v>2</v>
      </c>
      <c r="Q81" s="37">
        <f t="array" aca="1" ref="Q81" ca="1">IF(COUNT(F81:N81)&gt;5,SUM(LARGE(F81:N81,{1,2,3,4,5})),SUM(F81:N81))</f>
        <v>19</v>
      </c>
    </row>
    <row r="82" spans="2:17" ht="16" thickBot="1" x14ac:dyDescent="0.4">
      <c r="B82" s="33">
        <f ca="1">IF(D82="","",RANK(Q82,$Q$5:$Q$91,0))</f>
        <v>78</v>
      </c>
      <c r="C82" s="32" cm="1">
        <f t="array" aca="1" ref="C82" ca="1">IF(E82="F",SUMPRODUCT(($E$5:$E$91=E82)*(Q82&lt;$Q$5:$Q$91))+1,"")</f>
        <v>27</v>
      </c>
      <c r="D82" s="30" t="s">
        <v>108</v>
      </c>
      <c r="E82" s="31" t="s">
        <v>49</v>
      </c>
      <c r="F82" s="35" t="str">
        <f ca="1">IF($D82="","",(IF(COUNTIF((INDIRECT("'"&amp;F$4&amp;"'!$B$4:$B$83")),CONCATENATE("*",$D82,"*"))=1,VLOOKUP(CONCATENATE("*",$D82,"*"),(INDIRECT("'"&amp;F$4&amp;"'!$B$4:$H$83")),7,FALSE),"")))</f>
        <v/>
      </c>
      <c r="G82" s="35" t="str">
        <f ca="1">IF($D82="","",(IF(COUNTIF((INDIRECT("'"&amp;G$4&amp;"'!$B$4:$B$83")),CONCATENATE("*",$D82,"*"))=1,VLOOKUP(CONCATENATE("*",$D82,"*"),(INDIRECT("'"&amp;G$4&amp;"'!$B$4:$H$83")),7,FALSE),"")))</f>
        <v/>
      </c>
      <c r="H82" s="35">
        <f ca="1">IF($D82="","",(IF(COUNTIF((INDIRECT("'"&amp;H$4&amp;"'!$B$4:$B$83")),CONCATENATE("*",$D82,"*"))=1,VLOOKUP(CONCATENATE("*",$D82,"*"),(INDIRECT("'"&amp;H$4&amp;"'!$B$4:$H$83")),7,FALSE),"")))</f>
        <v>17</v>
      </c>
      <c r="I82" s="35" t="str">
        <f ca="1">IF($D82="","",(IF(COUNTIF((INDIRECT("'"&amp;I$4&amp;"'!$B$4:$B$83")),CONCATENATE("*",$D82,"*"))=1,VLOOKUP(CONCATENATE("*",$D82,"*"),(INDIRECT("'"&amp;I$4&amp;"'!$B$4:$H$83")),7,FALSE),"")))</f>
        <v/>
      </c>
      <c r="J82" s="35" t="str">
        <f ca="1">IF($D82="","",(IF(COUNTIF((INDIRECT("'"&amp;J$4&amp;"'!$B$4:$B$83")),CONCATENATE("*",$D82,"*"))=1,VLOOKUP(CONCATENATE("*",$D82,"*"),(INDIRECT("'"&amp;J$4&amp;"'!$B$4:$H$83")),7,FALSE),"")))</f>
        <v/>
      </c>
      <c r="K82" s="35" t="str">
        <f ca="1">IF($D82="","",(IF(COUNTIF((INDIRECT("'"&amp;K$4&amp;"'!$B$4:$B$83")),CONCATENATE("*",$D82,"*"))=1,VLOOKUP(CONCATENATE("*",$D82,"*"),(INDIRECT("'"&amp;K$4&amp;"'!$B$4:$H$83")),7,FALSE),"")))</f>
        <v/>
      </c>
      <c r="L82" s="35" t="str">
        <f ca="1">IF($D82="","",(IF(COUNTIF((INDIRECT("'"&amp;L$4&amp;"'!$B$4:$B$83")),CONCATENATE("*",$D82,"*"))=1,VLOOKUP(CONCATENATE("*",$D82,"*"),(INDIRECT("'"&amp;L$4&amp;"'!$B$4:$H$83")),7,FALSE),"")))</f>
        <v/>
      </c>
      <c r="M82" s="35" t="str">
        <f ca="1">IF($D82="","",(IF(COUNTIF((INDIRECT("'"&amp;M$4&amp;"'!$B$4:$B$83")),CONCATENATE("*",$D82,"*"))=1,VLOOKUP(CONCATENATE("*",$D82,"*"),(INDIRECT("'"&amp;M$4&amp;"'!$B$4:$H$83")),7,FALSE),"")))</f>
        <v/>
      </c>
      <c r="N82" s="31" t="str">
        <f>IF(O82&lt;&gt;"",MAX(F82:M82),"")</f>
        <v/>
      </c>
      <c r="O82" s="32"/>
      <c r="P82" s="32">
        <f ca="1">COUNTIF(F82:M82,"&gt;0")</f>
        <v>1</v>
      </c>
      <c r="Q82" s="37">
        <f t="array" aca="1" ref="Q82" ca="1">IF(COUNT(F82:N82)&gt;5,SUM(LARGE(F82:N82,{1,2,3,4,5})),SUM(F82:N82))</f>
        <v>17</v>
      </c>
    </row>
    <row r="83" spans="2:17" ht="16" thickBot="1" x14ac:dyDescent="0.4">
      <c r="B83" s="33">
        <f ca="1">IF(D83="","",RANK(Q83,$Q$5:$Q$91,0))</f>
        <v>79</v>
      </c>
      <c r="C83" s="32" cm="1">
        <f t="array" aca="1" ref="C83" ca="1">IF(E83="F",SUMPRODUCT(($E$5:$E$91=E83)*(Q83&lt;$Q$5:$Q$91))+1,"")</f>
        <v>28</v>
      </c>
      <c r="D83" s="39" t="s">
        <v>72</v>
      </c>
      <c r="E83" s="31" t="s">
        <v>49</v>
      </c>
      <c r="F83" s="35">
        <f ca="1">IF($D83="","",(IF(COUNTIF((INDIRECT("'"&amp;F$4&amp;"'!$B$4:$B$83")),CONCATENATE("*",$D83,"*"))=1,VLOOKUP(CONCATENATE("*",$D83,"*"),(INDIRECT("'"&amp;F$4&amp;"'!$B$4:$H$83")),7,FALSE),"")))</f>
        <v>16</v>
      </c>
      <c r="G83" s="35" t="str">
        <f ca="1">IF($D83="","",(IF(COUNTIF((INDIRECT("'"&amp;G$4&amp;"'!$B$4:$B$83")),CONCATENATE("*",$D83,"*"))=1,VLOOKUP(CONCATENATE("*",$D83,"*"),(INDIRECT("'"&amp;G$4&amp;"'!$B$4:$H$83")),7,FALSE),"")))</f>
        <v/>
      </c>
      <c r="H83" s="35" t="str">
        <f ca="1">IF($D83="","",(IF(COUNTIF((INDIRECT("'"&amp;H$4&amp;"'!$B$4:$B$83")),CONCATENATE("*",$D83,"*"))=1,VLOOKUP(CONCATENATE("*",$D83,"*"),(INDIRECT("'"&amp;H$4&amp;"'!$B$4:$H$83")),7,FALSE),"")))</f>
        <v/>
      </c>
      <c r="I83" s="35" t="str">
        <f ca="1">IF($D83="","",(IF(COUNTIF((INDIRECT("'"&amp;I$4&amp;"'!$B$4:$B$83")),CONCATENATE("*",$D83,"*"))=1,VLOOKUP(CONCATENATE("*",$D83,"*"),(INDIRECT("'"&amp;I$4&amp;"'!$B$4:$H$83")),7,FALSE),"")))</f>
        <v/>
      </c>
      <c r="J83" s="35" t="str">
        <f ca="1">IF($D83="","",(IF(COUNTIF((INDIRECT("'"&amp;J$4&amp;"'!$B$4:$B$83")),CONCATENATE("*",$D83,"*"))=1,VLOOKUP(CONCATENATE("*",$D83,"*"),(INDIRECT("'"&amp;J$4&amp;"'!$B$4:$H$83")),7,FALSE),"")))</f>
        <v/>
      </c>
      <c r="K83" s="35" t="str">
        <f ca="1">IF($D83="","",(IF(COUNTIF((INDIRECT("'"&amp;K$4&amp;"'!$B$4:$B$83")),CONCATENATE("*",$D83,"*"))=1,VLOOKUP(CONCATENATE("*",$D83,"*"),(INDIRECT("'"&amp;K$4&amp;"'!$B$4:$H$83")),7,FALSE),"")))</f>
        <v/>
      </c>
      <c r="L83" s="35" t="str">
        <f ca="1">IF($D83="","",(IF(COUNTIF((INDIRECT("'"&amp;L$4&amp;"'!$B$4:$B$83")),CONCATENATE("*",$D83,"*"))=1,VLOOKUP(CONCATENATE("*",$D83,"*"),(INDIRECT("'"&amp;L$4&amp;"'!$B$4:$H$83")),7,FALSE),"")))</f>
        <v/>
      </c>
      <c r="M83" s="35" t="str">
        <f ca="1">IF($D83="","",(IF(COUNTIF((INDIRECT("'"&amp;M$4&amp;"'!$B$4:$B$83")),CONCATENATE("*",$D83,"*"))=1,VLOOKUP(CONCATENATE("*",$D83,"*"),(INDIRECT("'"&amp;M$4&amp;"'!$B$4:$H$83")),7,FALSE),"")))</f>
        <v/>
      </c>
      <c r="N83" s="31" t="str">
        <f>IF(O83&lt;&gt;"",MAX(F83:M83),"")</f>
        <v/>
      </c>
      <c r="O83" s="32"/>
      <c r="P83" s="32">
        <f ca="1">COUNTIF(F83:M83,"&gt;0")</f>
        <v>1</v>
      </c>
      <c r="Q83" s="37">
        <f t="array" aca="1" ref="Q83" ca="1">IF(COUNT(F83:N83)&gt;5,SUM(LARGE(F83:N83,{1,2,3,4,5})),SUM(F83:N83))</f>
        <v>16</v>
      </c>
    </row>
    <row r="84" spans="2:17" ht="16" thickBot="1" x14ac:dyDescent="0.4">
      <c r="B84" s="33">
        <f ca="1">IF(D84="","",RANK(Q84,$Q$5:$Q$91,0))</f>
        <v>80</v>
      </c>
      <c r="C84" s="32" t="str" cm="1">
        <f t="array" ref="C84">IF(E84="F",SUMPRODUCT(($E$5:$E$91=E84)*(Q84&lt;$Q$5:$Q$91))+1,"")</f>
        <v/>
      </c>
      <c r="D84" s="30" t="s">
        <v>109</v>
      </c>
      <c r="E84" s="31"/>
      <c r="F84" s="35" t="str">
        <f ca="1">IF($D84="","",(IF(COUNTIF((INDIRECT("'"&amp;F$4&amp;"'!$B$4:$B$83")),CONCATENATE("*",$D84,"*"))=1,VLOOKUP(CONCATENATE("*",$D84,"*"),(INDIRECT("'"&amp;F$4&amp;"'!$B$4:$H$83")),7,FALSE),"")))</f>
        <v/>
      </c>
      <c r="G84" s="35" t="str">
        <f ca="1">IF($D84="","",(IF(COUNTIF((INDIRECT("'"&amp;G$4&amp;"'!$B$4:$B$83")),CONCATENATE("*",$D84,"*"))=1,VLOOKUP(CONCATENATE("*",$D84,"*"),(INDIRECT("'"&amp;G$4&amp;"'!$B$4:$H$83")),7,FALSE),"")))</f>
        <v/>
      </c>
      <c r="H84" s="35">
        <f ca="1">IF($D84="","",(IF(COUNTIF((INDIRECT("'"&amp;H$4&amp;"'!$B$4:$B$83")),CONCATENATE("*",$D84,"*"))=1,VLOOKUP(CONCATENATE("*",$D84,"*"),(INDIRECT("'"&amp;H$4&amp;"'!$B$4:$H$83")),7,FALSE),"")))</f>
        <v>15</v>
      </c>
      <c r="I84" s="35" t="str">
        <f ca="1">IF($D84="","",(IF(COUNTIF((INDIRECT("'"&amp;I$4&amp;"'!$B$4:$B$83")),CONCATENATE("*",$D84,"*"))=1,VLOOKUP(CONCATENATE("*",$D84,"*"),(INDIRECT("'"&amp;I$4&amp;"'!$B$4:$H$83")),7,FALSE),"")))</f>
        <v/>
      </c>
      <c r="J84" s="35" t="str">
        <f ca="1">IF($D84="","",(IF(COUNTIF((INDIRECT("'"&amp;J$4&amp;"'!$B$4:$B$83")),CONCATENATE("*",$D84,"*"))=1,VLOOKUP(CONCATENATE("*",$D84,"*"),(INDIRECT("'"&amp;J$4&amp;"'!$B$4:$H$83")),7,FALSE),"")))</f>
        <v/>
      </c>
      <c r="K84" s="35" t="str">
        <f ca="1">IF($D84="","",(IF(COUNTIF((INDIRECT("'"&amp;K$4&amp;"'!$B$4:$B$83")),CONCATENATE("*",$D84,"*"))=1,VLOOKUP(CONCATENATE("*",$D84,"*"),(INDIRECT("'"&amp;K$4&amp;"'!$B$4:$H$83")),7,FALSE),"")))</f>
        <v/>
      </c>
      <c r="L84" s="35" t="str">
        <f ca="1">IF($D84="","",(IF(COUNTIF((INDIRECT("'"&amp;L$4&amp;"'!$B$4:$B$83")),CONCATENATE("*",$D84,"*"))=1,VLOOKUP(CONCATENATE("*",$D84,"*"),(INDIRECT("'"&amp;L$4&amp;"'!$B$4:$H$83")),7,FALSE),"")))</f>
        <v/>
      </c>
      <c r="M84" s="35" t="str">
        <f ca="1">IF($D84="","",(IF(COUNTIF((INDIRECT("'"&amp;M$4&amp;"'!$B$4:$B$83")),CONCATENATE("*",$D84,"*"))=1,VLOOKUP(CONCATENATE("*",$D84,"*"),(INDIRECT("'"&amp;M$4&amp;"'!$B$4:$H$83")),7,FALSE),"")))</f>
        <v/>
      </c>
      <c r="N84" s="31" t="str">
        <f>IF(O84&lt;&gt;"",MAX(F84:M84),"")</f>
        <v/>
      </c>
      <c r="O84" s="32"/>
      <c r="P84" s="32">
        <f ca="1">COUNTIF(F84:M84,"&gt;0")</f>
        <v>1</v>
      </c>
      <c r="Q84" s="37">
        <f t="array" aca="1" ref="Q84" ca="1">IF(COUNT(F84:N84)&gt;5,SUM(LARGE(F84:N84,{1,2,3,4,5})),SUM(F84:N84))</f>
        <v>15</v>
      </c>
    </row>
    <row r="85" spans="2:17" ht="16" thickBot="1" x14ac:dyDescent="0.4">
      <c r="B85" s="33">
        <f ca="1">IF(D85="","",RANK(Q85,$Q$5:$Q$91,0))</f>
        <v>81</v>
      </c>
      <c r="C85" s="32" t="str" cm="1">
        <f t="array" ref="C85">IF(E85="F",SUMPRODUCT(($E$5:$E$91=E85)*(Q85&lt;$Q$5:$Q$91))+1,"")</f>
        <v/>
      </c>
      <c r="D85" s="30" t="s">
        <v>91</v>
      </c>
      <c r="E85" s="31"/>
      <c r="F85" s="35" t="str">
        <f ca="1">IF($D85="","",(IF(COUNTIF((INDIRECT("'"&amp;F$4&amp;"'!$B$4:$B$83")),CONCATENATE("*",$D85,"*"))=1,VLOOKUP(CONCATENATE("*",$D85,"*"),(INDIRECT("'"&amp;F$4&amp;"'!$B$4:$H$83")),7,FALSE),"")))</f>
        <v/>
      </c>
      <c r="G85" s="35">
        <f ca="1">IF($D85="","",(IF(COUNTIF((INDIRECT("'"&amp;G$4&amp;"'!$B$4:$B$83")),CONCATENATE("*",$D85,"*"))=1,VLOOKUP(CONCATENATE("*",$D85,"*"),(INDIRECT("'"&amp;G$4&amp;"'!$B$4:$H$83")),7,FALSE),"")))</f>
        <v>12</v>
      </c>
      <c r="H85" s="35" t="str">
        <f ca="1">IF($D85="","",(IF(COUNTIF((INDIRECT("'"&amp;H$4&amp;"'!$B$4:$B$83")),CONCATENATE("*",$D85,"*"))=1,VLOOKUP(CONCATENATE("*",$D85,"*"),(INDIRECT("'"&amp;H$4&amp;"'!$B$4:$H$83")),7,FALSE),"")))</f>
        <v/>
      </c>
      <c r="I85" s="35" t="str">
        <f ca="1">IF($D85="","",(IF(COUNTIF((INDIRECT("'"&amp;I$4&amp;"'!$B$4:$B$83")),CONCATENATE("*",$D85,"*"))=1,VLOOKUP(CONCATENATE("*",$D85,"*"),(INDIRECT("'"&amp;I$4&amp;"'!$B$4:$H$83")),7,FALSE),"")))</f>
        <v/>
      </c>
      <c r="J85" s="35" t="str">
        <f ca="1">IF($D85="","",(IF(COUNTIF((INDIRECT("'"&amp;J$4&amp;"'!$B$4:$B$83")),CONCATENATE("*",$D85,"*"))=1,VLOOKUP(CONCATENATE("*",$D85,"*"),(INDIRECT("'"&amp;J$4&amp;"'!$B$4:$H$83")),7,FALSE),"")))</f>
        <v/>
      </c>
      <c r="K85" s="35" t="str">
        <f ca="1">IF($D85="","",(IF(COUNTIF((INDIRECT("'"&amp;K$4&amp;"'!$B$4:$B$83")),CONCATENATE("*",$D85,"*"))=1,VLOOKUP(CONCATENATE("*",$D85,"*"),(INDIRECT("'"&amp;K$4&amp;"'!$B$4:$H$83")),7,FALSE),"")))</f>
        <v/>
      </c>
      <c r="L85" s="35" t="str">
        <f ca="1">IF($D85="","",(IF(COUNTIF((INDIRECT("'"&amp;L$4&amp;"'!$B$4:$B$83")),CONCATENATE("*",$D85,"*"))=1,VLOOKUP(CONCATENATE("*",$D85,"*"),(INDIRECT("'"&amp;L$4&amp;"'!$B$4:$H$83")),7,FALSE),"")))</f>
        <v/>
      </c>
      <c r="M85" s="35" t="str">
        <f ca="1">IF($D85="","",(IF(COUNTIF((INDIRECT("'"&amp;M$4&amp;"'!$B$4:$B$83")),CONCATENATE("*",$D85,"*"))=1,VLOOKUP(CONCATENATE("*",$D85,"*"),(INDIRECT("'"&amp;M$4&amp;"'!$B$4:$H$83")),7,FALSE),"")))</f>
        <v/>
      </c>
      <c r="N85" s="31" t="str">
        <f>IF(O85&lt;&gt;"",MAX(F85:M85),"")</f>
        <v/>
      </c>
      <c r="O85" s="32"/>
      <c r="P85" s="32">
        <f ca="1">COUNTIF(F85:M85,"&gt;0")</f>
        <v>1</v>
      </c>
      <c r="Q85" s="37">
        <f t="array" aca="1" ref="Q85" ca="1">IF(COUNT(F85:N85)&gt;5,SUM(LARGE(F85:N85,{1,2,3,4,5})),SUM(F85:N85))</f>
        <v>12</v>
      </c>
    </row>
    <row r="86" spans="2:17" ht="16" thickBot="1" x14ac:dyDescent="0.4">
      <c r="B86" s="33">
        <f ca="1">IF(D86="","",RANK(Q86,$Q$5:$Q$91,0))</f>
        <v>82</v>
      </c>
      <c r="C86" s="32" cm="1">
        <f t="array" aca="1" ref="C86" ca="1">IF(E86="F",SUMPRODUCT(($E$5:$E$91=E86)*(Q86&lt;$Q$5:$Q$91))+1,"")</f>
        <v>29</v>
      </c>
      <c r="D86" s="30" t="s">
        <v>92</v>
      </c>
      <c r="E86" s="31" t="s">
        <v>49</v>
      </c>
      <c r="F86" s="35" t="str">
        <f ca="1">IF($D86="","",(IF(COUNTIF((INDIRECT("'"&amp;F$4&amp;"'!$B$4:$B$83")),CONCATENATE("*",$D86,"*"))=1,VLOOKUP(CONCATENATE("*",$D86,"*"),(INDIRECT("'"&amp;F$4&amp;"'!$B$4:$H$83")),7,FALSE),"")))</f>
        <v/>
      </c>
      <c r="G86" s="35">
        <f ca="1">IF($D86="","",(IF(COUNTIF((INDIRECT("'"&amp;G$4&amp;"'!$B$4:$B$83")),CONCATENATE("*",$D86,"*"))=1,VLOOKUP(CONCATENATE("*",$D86,"*"),(INDIRECT("'"&amp;G$4&amp;"'!$B$4:$H$83")),7,FALSE),"")))</f>
        <v>10</v>
      </c>
      <c r="H86" s="35" t="str">
        <f ca="1">IF($D86="","",(IF(COUNTIF((INDIRECT("'"&amp;H$4&amp;"'!$B$4:$B$83")),CONCATENATE("*",$D86,"*"))=1,VLOOKUP(CONCATENATE("*",$D86,"*"),(INDIRECT("'"&amp;H$4&amp;"'!$B$4:$H$83")),7,FALSE),"")))</f>
        <v/>
      </c>
      <c r="I86" s="35" t="str">
        <f ca="1">IF($D86="","",(IF(COUNTIF((INDIRECT("'"&amp;I$4&amp;"'!$B$4:$B$83")),CONCATENATE("*",$D86,"*"))=1,VLOOKUP(CONCATENATE("*",$D86,"*"),(INDIRECT("'"&amp;I$4&amp;"'!$B$4:$H$83")),7,FALSE),"")))</f>
        <v/>
      </c>
      <c r="J86" s="35" t="str">
        <f ca="1">IF($D86="","",(IF(COUNTIF((INDIRECT("'"&amp;J$4&amp;"'!$B$4:$B$83")),CONCATENATE("*",$D86,"*"))=1,VLOOKUP(CONCATENATE("*",$D86,"*"),(INDIRECT("'"&amp;J$4&amp;"'!$B$4:$H$83")),7,FALSE),"")))</f>
        <v/>
      </c>
      <c r="K86" s="35" t="str">
        <f ca="1">IF($D86="","",(IF(COUNTIF((INDIRECT("'"&amp;K$4&amp;"'!$B$4:$B$83")),CONCATENATE("*",$D86,"*"))=1,VLOOKUP(CONCATENATE("*",$D86,"*"),(INDIRECT("'"&amp;K$4&amp;"'!$B$4:$H$83")),7,FALSE),"")))</f>
        <v/>
      </c>
      <c r="L86" s="35" t="str">
        <f ca="1">IF($D86="","",(IF(COUNTIF((INDIRECT("'"&amp;L$4&amp;"'!$B$4:$B$83")),CONCATENATE("*",$D86,"*"))=1,VLOOKUP(CONCATENATE("*",$D86,"*"),(INDIRECT("'"&amp;L$4&amp;"'!$B$4:$H$83")),7,FALSE),"")))</f>
        <v/>
      </c>
      <c r="M86" s="35" t="str">
        <f ca="1">IF($D86="","",(IF(COUNTIF((INDIRECT("'"&amp;M$4&amp;"'!$B$4:$B$83")),CONCATENATE("*",$D86,"*"))=1,VLOOKUP(CONCATENATE("*",$D86,"*"),(INDIRECT("'"&amp;M$4&amp;"'!$B$4:$H$83")),7,FALSE),"")))</f>
        <v/>
      </c>
      <c r="N86" s="31" t="str">
        <f>IF(O86&lt;&gt;"",MAX(F86:M86),"")</f>
        <v/>
      </c>
      <c r="O86" s="32"/>
      <c r="P86" s="32">
        <f ca="1">COUNTIF(F86:M86,"&gt;0")</f>
        <v>1</v>
      </c>
      <c r="Q86" s="37">
        <f t="array" aca="1" ref="Q86" ca="1">IF(COUNT(F86:N86)&gt;5,SUM(LARGE(F86:N86,{1,2,3,4,5})),SUM(F86:N86))</f>
        <v>10</v>
      </c>
    </row>
    <row r="87" spans="2:17" ht="16" thickBot="1" x14ac:dyDescent="0.4">
      <c r="B87" s="33">
        <f ca="1">IF(D87="","",RANK(Q87,$Q$5:$Q$91,0))</f>
        <v>83</v>
      </c>
      <c r="C87" s="32" t="str" cm="1">
        <f t="array" ref="C87">IF(E87="F",SUMPRODUCT(($E$5:$E$91=E87)*(Q87&lt;$Q$5:$Q$91))+1,"")</f>
        <v/>
      </c>
      <c r="D87" s="30" t="s">
        <v>95</v>
      </c>
      <c r="E87" s="31"/>
      <c r="F87" s="35" t="str">
        <f ca="1">IF($D87="","",(IF(COUNTIF((INDIRECT("'"&amp;F$4&amp;"'!$B$4:$B$83")),CONCATENATE("*",$D87,"*"))=1,VLOOKUP(CONCATENATE("*",$D87,"*"),(INDIRECT("'"&amp;F$4&amp;"'!$B$4:$H$83")),7,FALSE),"")))</f>
        <v/>
      </c>
      <c r="G87" s="35">
        <f ca="1">IF($D87="","",(IF(COUNTIF((INDIRECT("'"&amp;G$4&amp;"'!$B$4:$B$83")),CONCATENATE("*",$D87,"*"))=1,VLOOKUP(CONCATENATE("*",$D87,"*"),(INDIRECT("'"&amp;G$4&amp;"'!$B$4:$H$83")),7,FALSE),"")))</f>
        <v>9</v>
      </c>
      <c r="H87" s="35" t="str">
        <f ca="1">IF($D87="","",(IF(COUNTIF((INDIRECT("'"&amp;H$4&amp;"'!$B$4:$B$83")),CONCATENATE("*",$D87,"*"))=1,VLOOKUP(CONCATENATE("*",$D87,"*"),(INDIRECT("'"&amp;H$4&amp;"'!$B$4:$H$83")),7,FALSE),"")))</f>
        <v/>
      </c>
      <c r="I87" s="35" t="str">
        <f ca="1">IF($D87="","",(IF(COUNTIF((INDIRECT("'"&amp;I$4&amp;"'!$B$4:$B$83")),CONCATENATE("*",$D87,"*"))=1,VLOOKUP(CONCATENATE("*",$D87,"*"),(INDIRECT("'"&amp;I$4&amp;"'!$B$4:$H$83")),7,FALSE),"")))</f>
        <v/>
      </c>
      <c r="J87" s="35" t="str">
        <f ca="1">IF($D87="","",(IF(COUNTIF((INDIRECT("'"&amp;J$4&amp;"'!$B$4:$B$83")),CONCATENATE("*",$D87,"*"))=1,VLOOKUP(CONCATENATE("*",$D87,"*"),(INDIRECT("'"&amp;J$4&amp;"'!$B$4:$H$83")),7,FALSE),"")))</f>
        <v/>
      </c>
      <c r="K87" s="35" t="str">
        <f ca="1">IF($D87="","",(IF(COUNTIF((INDIRECT("'"&amp;K$4&amp;"'!$B$4:$B$83")),CONCATENATE("*",$D87,"*"))=1,VLOOKUP(CONCATENATE("*",$D87,"*"),(INDIRECT("'"&amp;K$4&amp;"'!$B$4:$H$83")),7,FALSE),"")))</f>
        <v/>
      </c>
      <c r="L87" s="35" t="str">
        <f ca="1">IF($D87="","",(IF(COUNTIF((INDIRECT("'"&amp;L$4&amp;"'!$B$4:$B$83")),CONCATENATE("*",$D87,"*"))=1,VLOOKUP(CONCATENATE("*",$D87,"*"),(INDIRECT("'"&amp;L$4&amp;"'!$B$4:$H$83")),7,FALSE),"")))</f>
        <v/>
      </c>
      <c r="M87" s="35" t="str">
        <f ca="1">IF($D87="","",(IF(COUNTIF((INDIRECT("'"&amp;M$4&amp;"'!$B$4:$B$83")),CONCATENATE("*",$D87,"*"))=1,VLOOKUP(CONCATENATE("*",$D87,"*"),(INDIRECT("'"&amp;M$4&amp;"'!$B$4:$H$83")),7,FALSE),"")))</f>
        <v/>
      </c>
      <c r="N87" s="31" t="str">
        <f>IF(O87&lt;&gt;"",MAX(F87:M87),"")</f>
        <v/>
      </c>
      <c r="O87" s="32"/>
      <c r="P87" s="32">
        <f ca="1">COUNTIF(F87:M87,"&gt;0")</f>
        <v>1</v>
      </c>
      <c r="Q87" s="37">
        <f t="array" aca="1" ref="Q87" ca="1">IF(COUNT(F87:N87)&gt;5,SUM(LARGE(F87:N87,{1,2,3,4,5})),SUM(F87:N87))</f>
        <v>9</v>
      </c>
    </row>
    <row r="88" spans="2:17" ht="16" thickBot="1" x14ac:dyDescent="0.4">
      <c r="B88" s="33">
        <f ca="1">IF(D88="","",RANK(Q88,$Q$5:$Q$91,0))</f>
        <v>84</v>
      </c>
      <c r="C88" s="32" t="str" cm="1">
        <f t="array" ref="C88">IF(E88="F",SUMPRODUCT(($E$5:$E$91=E88)*(Q88&lt;$Q$5:$Q$91))+1,"")</f>
        <v/>
      </c>
      <c r="D88" s="30" t="s">
        <v>112</v>
      </c>
      <c r="E88" s="31"/>
      <c r="F88" s="35" t="str">
        <f ca="1">IF($D88="","",(IF(COUNTIF((INDIRECT("'"&amp;F$4&amp;"'!$B$4:$B$83")),CONCATENATE("*",$D88,"*"))=1,VLOOKUP(CONCATENATE("*",$D88,"*"),(INDIRECT("'"&amp;F$4&amp;"'!$B$4:$H$83")),7,FALSE),"")))</f>
        <v/>
      </c>
      <c r="G88" s="35" t="str">
        <f ca="1">IF($D88="","",(IF(COUNTIF((INDIRECT("'"&amp;G$4&amp;"'!$B$4:$B$83")),CONCATENATE("*",$D88,"*"))=1,VLOOKUP(CONCATENATE("*",$D88,"*"),(INDIRECT("'"&amp;G$4&amp;"'!$B$4:$H$83")),7,FALSE),"")))</f>
        <v/>
      </c>
      <c r="H88" s="35">
        <f ca="1">IF($D88="","",(IF(COUNTIF((INDIRECT("'"&amp;H$4&amp;"'!$B$4:$B$83")),CONCATENATE("*",$D88,"*"))=1,VLOOKUP(CONCATENATE("*",$D88,"*"),(INDIRECT("'"&amp;H$4&amp;"'!$B$4:$H$83")),7,FALSE),"")))</f>
        <v>8</v>
      </c>
      <c r="I88" s="35" t="str">
        <f ca="1">IF($D88="","",(IF(COUNTIF((INDIRECT("'"&amp;I$4&amp;"'!$B$4:$B$83")),CONCATENATE("*",$D88,"*"))=1,VLOOKUP(CONCATENATE("*",$D88,"*"),(INDIRECT("'"&amp;I$4&amp;"'!$B$4:$H$83")),7,FALSE),"")))</f>
        <v/>
      </c>
      <c r="J88" s="35" t="str">
        <f ca="1">IF($D88="","",(IF(COUNTIF((INDIRECT("'"&amp;J$4&amp;"'!$B$4:$B$83")),CONCATENATE("*",$D88,"*"))=1,VLOOKUP(CONCATENATE("*",$D88,"*"),(INDIRECT("'"&amp;J$4&amp;"'!$B$4:$H$83")),7,FALSE),"")))</f>
        <v/>
      </c>
      <c r="K88" s="35" t="str">
        <f ca="1">IF($D88="","",(IF(COUNTIF((INDIRECT("'"&amp;K$4&amp;"'!$B$4:$B$83")),CONCATENATE("*",$D88,"*"))=1,VLOOKUP(CONCATENATE("*",$D88,"*"),(INDIRECT("'"&amp;K$4&amp;"'!$B$4:$H$83")),7,FALSE),"")))</f>
        <v/>
      </c>
      <c r="L88" s="35" t="str">
        <f ca="1">IF($D88="","",(IF(COUNTIF((INDIRECT("'"&amp;L$4&amp;"'!$B$4:$B$83")),CONCATENATE("*",$D88,"*"))=1,VLOOKUP(CONCATENATE("*",$D88,"*"),(INDIRECT("'"&amp;L$4&amp;"'!$B$4:$H$83")),7,FALSE),"")))</f>
        <v/>
      </c>
      <c r="M88" s="35" t="str">
        <f ca="1">IF($D88="","",(IF(COUNTIF((INDIRECT("'"&amp;M$4&amp;"'!$B$4:$B$83")),CONCATENATE("*",$D88,"*"))=1,VLOOKUP(CONCATENATE("*",$D88,"*"),(INDIRECT("'"&amp;M$4&amp;"'!$B$4:$H$83")),7,FALSE),"")))</f>
        <v/>
      </c>
      <c r="N88" s="31" t="str">
        <f>IF(O88&lt;&gt;"",MAX(F88:M88),"")</f>
        <v/>
      </c>
      <c r="O88" s="32"/>
      <c r="P88" s="32">
        <f ca="1">COUNTIF(F88:M88,"&gt;0")</f>
        <v>1</v>
      </c>
      <c r="Q88" s="37">
        <f t="array" aca="1" ref="Q88" ca="1">IF(COUNT(F88:N88)&gt;5,SUM(LARGE(F88:N88,{1,2,3,4,5})),SUM(F88:N88))</f>
        <v>8</v>
      </c>
    </row>
    <row r="89" spans="2:17" ht="16" thickBot="1" x14ac:dyDescent="0.4">
      <c r="B89" s="33">
        <f ca="1">IF(D89="","",RANK(Q89,$Q$5:$Q$91,0))</f>
        <v>85</v>
      </c>
      <c r="C89" s="32" cm="1">
        <f t="array" aca="1" ref="C89" ca="1">IF(E89="F",SUMPRODUCT(($E$5:$E$91=E89)*(Q89&lt;$Q$5:$Q$91))+1,"")</f>
        <v>30</v>
      </c>
      <c r="D89" s="30" t="s">
        <v>113</v>
      </c>
      <c r="E89" s="31" t="s">
        <v>49</v>
      </c>
      <c r="F89" s="35" t="str">
        <f ca="1">IF($D89="","",(IF(COUNTIF((INDIRECT("'"&amp;F$4&amp;"'!$B$4:$B$83")),CONCATENATE("*",$D89,"*"))=1,VLOOKUP(CONCATENATE("*",$D89,"*"),(INDIRECT("'"&amp;F$4&amp;"'!$B$4:$H$83")),7,FALSE),"")))</f>
        <v/>
      </c>
      <c r="G89" s="35" t="str">
        <f ca="1">IF($D89="","",(IF(COUNTIF((INDIRECT("'"&amp;G$4&amp;"'!$B$4:$B$83")),CONCATENATE("*",$D89,"*"))=1,VLOOKUP(CONCATENATE("*",$D89,"*"),(INDIRECT("'"&amp;G$4&amp;"'!$B$4:$H$83")),7,FALSE),"")))</f>
        <v/>
      </c>
      <c r="H89" s="35">
        <f ca="1">IF($D89="","",(IF(COUNTIF((INDIRECT("'"&amp;H$4&amp;"'!$B$4:$B$83")),CONCATENATE("*",$D89,"*"))=1,VLOOKUP(CONCATENATE("*",$D89,"*"),(INDIRECT("'"&amp;H$4&amp;"'!$B$4:$H$83")),7,FALSE),"")))</f>
        <v>7</v>
      </c>
      <c r="I89" s="35" t="str">
        <f ca="1">IF($D89="","",(IF(COUNTIF((INDIRECT("'"&amp;I$4&amp;"'!$B$4:$B$83")),CONCATENATE("*",$D89,"*"))=1,VLOOKUP(CONCATENATE("*",$D89,"*"),(INDIRECT("'"&amp;I$4&amp;"'!$B$4:$H$83")),7,FALSE),"")))</f>
        <v/>
      </c>
      <c r="J89" s="35" t="str">
        <f ca="1">IF($D89="","",(IF(COUNTIF((INDIRECT("'"&amp;J$4&amp;"'!$B$4:$B$83")),CONCATENATE("*",$D89,"*"))=1,VLOOKUP(CONCATENATE("*",$D89,"*"),(INDIRECT("'"&amp;J$4&amp;"'!$B$4:$H$83")),7,FALSE),"")))</f>
        <v/>
      </c>
      <c r="K89" s="35" t="str">
        <f ca="1">IF($D89="","",(IF(COUNTIF((INDIRECT("'"&amp;K$4&amp;"'!$B$4:$B$83")),CONCATENATE("*",$D89,"*"))=1,VLOOKUP(CONCATENATE("*",$D89,"*"),(INDIRECT("'"&amp;K$4&amp;"'!$B$4:$H$83")),7,FALSE),"")))</f>
        <v/>
      </c>
      <c r="L89" s="35" t="str">
        <f ca="1">IF($D89="","",(IF(COUNTIF((INDIRECT("'"&amp;L$4&amp;"'!$B$4:$B$83")),CONCATENATE("*",$D89,"*"))=1,VLOOKUP(CONCATENATE("*",$D89,"*"),(INDIRECT("'"&amp;L$4&amp;"'!$B$4:$H$83")),7,FALSE),"")))</f>
        <v/>
      </c>
      <c r="M89" s="35" t="str">
        <f ca="1">IF($D89="","",(IF(COUNTIF((INDIRECT("'"&amp;M$4&amp;"'!$B$4:$B$83")),CONCATENATE("*",$D89,"*"))=1,VLOOKUP(CONCATENATE("*",$D89,"*"),(INDIRECT("'"&amp;M$4&amp;"'!$B$4:$H$83")),7,FALSE),"")))</f>
        <v/>
      </c>
      <c r="N89" s="31" t="str">
        <f>IF(O89&lt;&gt;"",MAX(F89:M89),"")</f>
        <v/>
      </c>
      <c r="O89" s="32"/>
      <c r="P89" s="32">
        <f ca="1">COUNTIF(F89:M89,"&gt;0")</f>
        <v>1</v>
      </c>
      <c r="Q89" s="37">
        <f t="array" aca="1" ref="Q89" ca="1">IF(COUNT(F89:N89)&gt;5,SUM(LARGE(F89:N89,{1,2,3,4,5})),SUM(F89:N89))</f>
        <v>7</v>
      </c>
    </row>
    <row r="90" spans="2:17" ht="16" thickBot="1" x14ac:dyDescent="0.4">
      <c r="B90" s="33">
        <f ca="1">IF(D90="","",RANK(Q90,$Q$5:$Q$91,0))</f>
        <v>86</v>
      </c>
      <c r="C90" s="32" cm="1">
        <f t="array" aca="1" ref="C90" ca="1">IF(E90="F",SUMPRODUCT(($E$5:$E$91=E90)*(Q90&lt;$Q$5:$Q$91))+1,"")</f>
        <v>31</v>
      </c>
      <c r="D90" s="30" t="s">
        <v>114</v>
      </c>
      <c r="E90" s="31" t="s">
        <v>49</v>
      </c>
      <c r="F90" s="35" t="str">
        <f ca="1">IF($D90="","",(IF(COUNTIF((INDIRECT("'"&amp;F$4&amp;"'!$B$4:$B$83")),CONCATENATE("*",$D90,"*"))=1,VLOOKUP(CONCATENATE("*",$D90,"*"),(INDIRECT("'"&amp;F$4&amp;"'!$B$4:$H$83")),7,FALSE),"")))</f>
        <v/>
      </c>
      <c r="G90" s="35" t="str">
        <f ca="1">IF($D90="","",(IF(COUNTIF((INDIRECT("'"&amp;G$4&amp;"'!$B$4:$B$83")),CONCATENATE("*",$D90,"*"))=1,VLOOKUP(CONCATENATE("*",$D90,"*"),(INDIRECT("'"&amp;G$4&amp;"'!$B$4:$H$83")),7,FALSE),"")))</f>
        <v/>
      </c>
      <c r="H90" s="35">
        <f ca="1">IF($D90="","",(IF(COUNTIF((INDIRECT("'"&amp;H$4&amp;"'!$B$4:$B$83")),CONCATENATE("*",$D90,"*"))=1,VLOOKUP(CONCATENATE("*",$D90,"*"),(INDIRECT("'"&amp;H$4&amp;"'!$B$4:$H$83")),7,FALSE),"")))</f>
        <v>5</v>
      </c>
      <c r="I90" s="35" t="str">
        <f ca="1">IF($D90="","",(IF(COUNTIF((INDIRECT("'"&amp;I$4&amp;"'!$B$4:$B$83")),CONCATENATE("*",$D90,"*"))=1,VLOOKUP(CONCATENATE("*",$D90,"*"),(INDIRECT("'"&amp;I$4&amp;"'!$B$4:$H$83")),7,FALSE),"")))</f>
        <v/>
      </c>
      <c r="J90" s="35" t="str">
        <f ca="1">IF($D90="","",(IF(COUNTIF((INDIRECT("'"&amp;J$4&amp;"'!$B$4:$B$83")),CONCATENATE("*",$D90,"*"))=1,VLOOKUP(CONCATENATE("*",$D90,"*"),(INDIRECT("'"&amp;J$4&amp;"'!$B$4:$H$83")),7,FALSE),"")))</f>
        <v/>
      </c>
      <c r="K90" s="35" t="str">
        <f ca="1">IF($D90="","",(IF(COUNTIF((INDIRECT("'"&amp;K$4&amp;"'!$B$4:$B$83")),CONCATENATE("*",$D90,"*"))=1,VLOOKUP(CONCATENATE("*",$D90,"*"),(INDIRECT("'"&amp;K$4&amp;"'!$B$4:$H$83")),7,FALSE),"")))</f>
        <v/>
      </c>
      <c r="L90" s="35" t="str">
        <f ca="1">IF($D90="","",(IF(COUNTIF((INDIRECT("'"&amp;L$4&amp;"'!$B$4:$B$83")),CONCATENATE("*",$D90,"*"))=1,VLOOKUP(CONCATENATE("*",$D90,"*"),(INDIRECT("'"&amp;L$4&amp;"'!$B$4:$H$83")),7,FALSE),"")))</f>
        <v/>
      </c>
      <c r="M90" s="35" t="str">
        <f ca="1">IF($D90="","",(IF(COUNTIF((INDIRECT("'"&amp;M$4&amp;"'!$B$4:$B$83")),CONCATENATE("*",$D90,"*"))=1,VLOOKUP(CONCATENATE("*",$D90,"*"),(INDIRECT("'"&amp;M$4&amp;"'!$B$4:$H$83")),7,FALSE),"")))</f>
        <v/>
      </c>
      <c r="N90" s="31" t="str">
        <f>IF(O90&lt;&gt;"",MAX(F90:M90),"")</f>
        <v/>
      </c>
      <c r="O90" s="32"/>
      <c r="P90" s="32">
        <f ca="1">COUNTIF(F90:M90,"&gt;0")</f>
        <v>1</v>
      </c>
      <c r="Q90" s="37">
        <f t="array" aca="1" ref="Q90" ca="1">IF(COUNT(F90:N90)&gt;5,SUM(LARGE(F90:N90,{1,2,3,4,5})),SUM(F90:N90))</f>
        <v>5</v>
      </c>
    </row>
    <row r="91" spans="2:17" x14ac:dyDescent="0.35">
      <c r="B91" s="33" t="str">
        <f t="shared" ref="B88:B91" si="0">IF(D91="","",RANK(Q91,$Q$5:$Q$91,0))</f>
        <v/>
      </c>
      <c r="C91" s="32" t="str" cm="1">
        <f t="array" ref="C91">IF(E91="F",SUMPRODUCT(($E$5:$E$91=E91)*(Q91&lt;$Q$5:$Q$91))+1,"")</f>
        <v/>
      </c>
      <c r="D91" s="30"/>
      <c r="E91" s="31"/>
      <c r="F91" s="35" t="str">
        <f t="shared" ref="F75:M91" ca="1" si="1">IF($D91="","",(IF(COUNTIF((INDIRECT("'"&amp;F$4&amp;"'!$B$4:$B$83")),CONCATENATE("*",$D91,"*"))=1,VLOOKUP(CONCATENATE("*",$D91,"*"),(INDIRECT("'"&amp;F$4&amp;"'!$B$4:$H$83")),7,FALSE),"")))</f>
        <v/>
      </c>
      <c r="G91" s="35" t="str">
        <f t="shared" ca="1" si="1"/>
        <v/>
      </c>
      <c r="H91" s="35" t="str">
        <f t="shared" ca="1" si="1"/>
        <v/>
      </c>
      <c r="I91" s="35" t="str">
        <f t="shared" ca="1" si="1"/>
        <v/>
      </c>
      <c r="J91" s="35" t="str">
        <f t="shared" ca="1" si="1"/>
        <v/>
      </c>
      <c r="K91" s="35" t="str">
        <f t="shared" ca="1" si="1"/>
        <v/>
      </c>
      <c r="L91" s="35" t="str">
        <f t="shared" ca="1" si="1"/>
        <v/>
      </c>
      <c r="M91" s="35" t="str">
        <f t="shared" ca="1" si="1"/>
        <v/>
      </c>
      <c r="N91" s="31" t="str">
        <f t="shared" ref="N88:N91" si="2">IF(O91&lt;&gt;"",MAX(F91:M91),"")</f>
        <v/>
      </c>
      <c r="O91" s="32"/>
      <c r="P91" s="32">
        <f t="shared" ref="P88:P91" ca="1" si="3">COUNTIF(F91:M91,"&gt;0")</f>
        <v>0</v>
      </c>
      <c r="Q91" s="37">
        <f t="array" aca="1" ref="Q91" ca="1">IF(COUNT(F91:N91)&gt;5,SUM(LARGE(F91:N91,{1,2,3,4,5})),SUM(F91:N91))</f>
        <v>0</v>
      </c>
    </row>
    <row r="92" spans="2:17" ht="43" customHeight="1" x14ac:dyDescent="0.35">
      <c r="B92" s="63" t="s">
        <v>50</v>
      </c>
      <c r="C92" s="63"/>
      <c r="D92" s="63"/>
      <c r="E92" s="63"/>
      <c r="F92" s="63"/>
      <c r="G92" s="63"/>
      <c r="H92" s="63"/>
      <c r="I92" s="63"/>
      <c r="J92" s="63"/>
      <c r="K92" s="63"/>
      <c r="L92" s="63"/>
      <c r="M92" s="63"/>
      <c r="N92" s="63"/>
      <c r="O92" s="63"/>
      <c r="P92" s="63"/>
      <c r="Q92" s="63"/>
    </row>
  </sheetData>
  <autoFilter ref="B2:Q92" xr:uid="{00000000-0001-0000-08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autoFilter>
  <sortState xmlns:xlrd2="http://schemas.microsoft.com/office/spreadsheetml/2017/richdata2" ref="B5:Q90">
    <sortCondition descending="1" ref="Q5:Q90"/>
  </sortState>
  <mergeCells count="10">
    <mergeCell ref="B92:Q92"/>
    <mergeCell ref="B2:Q2"/>
    <mergeCell ref="B3:B4"/>
    <mergeCell ref="C3:C4"/>
    <mergeCell ref="D3:D4"/>
    <mergeCell ref="E3:E4"/>
    <mergeCell ref="N3:N4"/>
    <mergeCell ref="O3:O4"/>
    <mergeCell ref="P3:P4"/>
    <mergeCell ref="Q3:Q4"/>
  </mergeCells>
  <phoneticPr fontId="4" type="noConversion"/>
  <conditionalFormatting sqref="F5:M87">
    <cfRule type="cellIs" dxfId="5" priority="100" operator="equal">
      <formula>""</formula>
    </cfRule>
  </conditionalFormatting>
  <conditionalFormatting sqref="D5">
    <cfRule type="cellIs" dxfId="4" priority="99" operator="equal">
      <formula>""</formula>
    </cfRule>
  </conditionalFormatting>
  <conditionalFormatting sqref="F5:M87">
    <cfRule type="cellIs" dxfId="3" priority="16" operator="equal">
      <formula>50</formula>
    </cfRule>
  </conditionalFormatting>
  <conditionalFormatting sqref="F88:M91">
    <cfRule type="cellIs" dxfId="2" priority="2" operator="equal">
      <formula>""</formula>
    </cfRule>
  </conditionalFormatting>
  <conditionalFormatting sqref="F88:M91">
    <cfRule type="cellIs" dxfId="1" priority="1" operator="equal">
      <formula>50</formula>
    </cfRule>
  </conditionalFormatting>
  <dataValidations count="2">
    <dataValidation type="list" allowBlank="1" showInputMessage="1" showErrorMessage="1" sqref="E5:E91" xr:uid="{00000000-0002-0000-0800-000000000000}">
      <formula1>"M,F"</formula1>
    </dataValidation>
    <dataValidation type="list" allowBlank="1" showInputMessage="1" showErrorMessage="1" sqref="O5:O91" xr:uid="{00000000-0002-0000-0800-000001000000}">
      <formula1>$F$4:$M$4</formula1>
    </dataValidation>
  </dataValidations>
  <printOptions horizontalCentered="1"/>
  <pageMargins left="0.23622047244094491" right="0.23622047244094491" top="0.74803149606299213" bottom="0.74803149606299213" header="0.31496062992125984" footer="0.31496062992125984"/>
  <pageSetup paperSize="9" scale="65"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autoPageBreaks="0"/>
  </sheetPr>
  <dimension ref="A1:B61"/>
  <sheetViews>
    <sheetView topLeftCell="A44" workbookViewId="0">
      <selection activeCell="H67" sqref="H67"/>
    </sheetView>
  </sheetViews>
  <sheetFormatPr defaultColWidth="8.81640625" defaultRowHeight="14.5" x14ac:dyDescent="0.35"/>
  <sheetData>
    <row r="1" spans="1:2" ht="15" thickBot="1" x14ac:dyDescent="0.4">
      <c r="A1" s="16" t="s">
        <v>4</v>
      </c>
      <c r="B1" s="17" t="s">
        <v>51</v>
      </c>
    </row>
    <row r="2" spans="1:2" x14ac:dyDescent="0.35">
      <c r="A2" s="14">
        <v>1</v>
      </c>
      <c r="B2" s="15">
        <v>50</v>
      </c>
    </row>
    <row r="3" spans="1:2" x14ac:dyDescent="0.35">
      <c r="A3" s="12">
        <v>2</v>
      </c>
      <c r="B3" s="13">
        <v>49</v>
      </c>
    </row>
    <row r="4" spans="1:2" x14ac:dyDescent="0.35">
      <c r="A4" s="12">
        <v>3</v>
      </c>
      <c r="B4" s="13">
        <v>48</v>
      </c>
    </row>
    <row r="5" spans="1:2" x14ac:dyDescent="0.35">
      <c r="A5" s="12">
        <v>4</v>
      </c>
      <c r="B5" s="13">
        <v>47</v>
      </c>
    </row>
    <row r="6" spans="1:2" x14ac:dyDescent="0.35">
      <c r="A6" s="12">
        <v>5</v>
      </c>
      <c r="B6" s="13">
        <v>46</v>
      </c>
    </row>
    <row r="7" spans="1:2" x14ac:dyDescent="0.35">
      <c r="A7" s="12">
        <v>6</v>
      </c>
      <c r="B7" s="13">
        <v>45</v>
      </c>
    </row>
    <row r="8" spans="1:2" x14ac:dyDescent="0.35">
      <c r="A8" s="12">
        <v>7</v>
      </c>
      <c r="B8" s="13">
        <v>44</v>
      </c>
    </row>
    <row r="9" spans="1:2" x14ac:dyDescent="0.35">
      <c r="A9" s="12">
        <v>8</v>
      </c>
      <c r="B9" s="13">
        <v>43</v>
      </c>
    </row>
    <row r="10" spans="1:2" x14ac:dyDescent="0.35">
      <c r="A10" s="12">
        <v>9</v>
      </c>
      <c r="B10" s="13">
        <v>42</v>
      </c>
    </row>
    <row r="11" spans="1:2" x14ac:dyDescent="0.35">
      <c r="A11" s="12">
        <v>10</v>
      </c>
      <c r="B11" s="13">
        <v>41</v>
      </c>
    </row>
    <row r="12" spans="1:2" x14ac:dyDescent="0.35">
      <c r="A12" s="12">
        <v>11</v>
      </c>
      <c r="B12" s="13">
        <v>40</v>
      </c>
    </row>
    <row r="13" spans="1:2" x14ac:dyDescent="0.35">
      <c r="A13" s="12">
        <v>12</v>
      </c>
      <c r="B13" s="13">
        <v>39</v>
      </c>
    </row>
    <row r="14" spans="1:2" x14ac:dyDescent="0.35">
      <c r="A14" s="12">
        <v>13</v>
      </c>
      <c r="B14" s="13">
        <v>38</v>
      </c>
    </row>
    <row r="15" spans="1:2" x14ac:dyDescent="0.35">
      <c r="A15" s="12">
        <v>14</v>
      </c>
      <c r="B15" s="13">
        <v>37</v>
      </c>
    </row>
    <row r="16" spans="1:2" x14ac:dyDescent="0.35">
      <c r="A16" s="12">
        <v>15</v>
      </c>
      <c r="B16" s="13">
        <v>36</v>
      </c>
    </row>
    <row r="17" spans="1:2" x14ac:dyDescent="0.35">
      <c r="A17" s="12">
        <v>16</v>
      </c>
      <c r="B17" s="13">
        <v>35</v>
      </c>
    </row>
    <row r="18" spans="1:2" x14ac:dyDescent="0.35">
      <c r="A18" s="12">
        <v>17</v>
      </c>
      <c r="B18" s="13">
        <v>34</v>
      </c>
    </row>
    <row r="19" spans="1:2" x14ac:dyDescent="0.35">
      <c r="A19" s="12">
        <v>18</v>
      </c>
      <c r="B19" s="13">
        <v>33</v>
      </c>
    </row>
    <row r="20" spans="1:2" x14ac:dyDescent="0.35">
      <c r="A20" s="12">
        <v>19</v>
      </c>
      <c r="B20" s="13">
        <v>32</v>
      </c>
    </row>
    <row r="21" spans="1:2" x14ac:dyDescent="0.35">
      <c r="A21" s="12">
        <v>20</v>
      </c>
      <c r="B21" s="13">
        <v>31</v>
      </c>
    </row>
    <row r="22" spans="1:2" x14ac:dyDescent="0.35">
      <c r="A22" s="12">
        <v>21</v>
      </c>
      <c r="B22" s="13">
        <v>30</v>
      </c>
    </row>
    <row r="23" spans="1:2" x14ac:dyDescent="0.35">
      <c r="A23" s="12">
        <v>22</v>
      </c>
      <c r="B23" s="13">
        <v>29</v>
      </c>
    </row>
    <row r="24" spans="1:2" x14ac:dyDescent="0.35">
      <c r="A24" s="12">
        <v>23</v>
      </c>
      <c r="B24" s="13">
        <v>28</v>
      </c>
    </row>
    <row r="25" spans="1:2" x14ac:dyDescent="0.35">
      <c r="A25" s="12">
        <v>24</v>
      </c>
      <c r="B25" s="13">
        <v>27</v>
      </c>
    </row>
    <row r="26" spans="1:2" x14ac:dyDescent="0.35">
      <c r="A26" s="12">
        <v>25</v>
      </c>
      <c r="B26" s="13">
        <v>26</v>
      </c>
    </row>
    <row r="27" spans="1:2" x14ac:dyDescent="0.35">
      <c r="A27" s="12">
        <v>26</v>
      </c>
      <c r="B27" s="13">
        <v>25</v>
      </c>
    </row>
    <row r="28" spans="1:2" x14ac:dyDescent="0.35">
      <c r="A28" s="12">
        <v>27</v>
      </c>
      <c r="B28" s="13">
        <v>24</v>
      </c>
    </row>
    <row r="29" spans="1:2" x14ac:dyDescent="0.35">
      <c r="A29" s="12">
        <v>28</v>
      </c>
      <c r="B29" s="13">
        <v>23</v>
      </c>
    </row>
    <row r="30" spans="1:2" x14ac:dyDescent="0.35">
      <c r="A30" s="12">
        <v>29</v>
      </c>
      <c r="B30" s="13">
        <v>22</v>
      </c>
    </row>
    <row r="31" spans="1:2" x14ac:dyDescent="0.35">
      <c r="A31" s="12">
        <v>30</v>
      </c>
      <c r="B31" s="13">
        <v>21</v>
      </c>
    </row>
    <row r="32" spans="1:2" x14ac:dyDescent="0.35">
      <c r="A32" s="12">
        <v>31</v>
      </c>
      <c r="B32" s="13">
        <v>20</v>
      </c>
    </row>
    <row r="33" spans="1:2" x14ac:dyDescent="0.35">
      <c r="A33" s="12">
        <v>32</v>
      </c>
      <c r="B33" s="13">
        <v>19</v>
      </c>
    </row>
    <row r="34" spans="1:2" x14ac:dyDescent="0.35">
      <c r="A34" s="12">
        <v>33</v>
      </c>
      <c r="B34" s="13">
        <v>18</v>
      </c>
    </row>
    <row r="35" spans="1:2" x14ac:dyDescent="0.35">
      <c r="A35" s="12">
        <v>34</v>
      </c>
      <c r="B35" s="13">
        <v>17</v>
      </c>
    </row>
    <row r="36" spans="1:2" x14ac:dyDescent="0.35">
      <c r="A36" s="12">
        <v>35</v>
      </c>
      <c r="B36" s="13">
        <v>16</v>
      </c>
    </row>
    <row r="37" spans="1:2" x14ac:dyDescent="0.35">
      <c r="A37" s="12">
        <v>36</v>
      </c>
      <c r="B37" s="13">
        <v>15</v>
      </c>
    </row>
    <row r="38" spans="1:2" x14ac:dyDescent="0.35">
      <c r="A38" s="12">
        <v>37</v>
      </c>
      <c r="B38" s="13">
        <v>14</v>
      </c>
    </row>
    <row r="39" spans="1:2" x14ac:dyDescent="0.35">
      <c r="A39" s="12">
        <v>38</v>
      </c>
      <c r="B39" s="13">
        <v>13</v>
      </c>
    </row>
    <row r="40" spans="1:2" x14ac:dyDescent="0.35">
      <c r="A40" s="12">
        <v>39</v>
      </c>
      <c r="B40" s="13">
        <v>12</v>
      </c>
    </row>
    <row r="41" spans="1:2" x14ac:dyDescent="0.35">
      <c r="A41" s="12">
        <v>40</v>
      </c>
      <c r="B41" s="13">
        <v>11</v>
      </c>
    </row>
    <row r="42" spans="1:2" x14ac:dyDescent="0.35">
      <c r="A42" s="12">
        <v>41</v>
      </c>
      <c r="B42" s="13">
        <v>10</v>
      </c>
    </row>
    <row r="43" spans="1:2" x14ac:dyDescent="0.35">
      <c r="A43" s="12">
        <v>42</v>
      </c>
      <c r="B43" s="13">
        <v>9</v>
      </c>
    </row>
    <row r="44" spans="1:2" x14ac:dyDescent="0.35">
      <c r="A44" s="12">
        <v>43</v>
      </c>
      <c r="B44" s="13">
        <v>8</v>
      </c>
    </row>
    <row r="45" spans="1:2" x14ac:dyDescent="0.35">
      <c r="A45" s="12">
        <v>44</v>
      </c>
      <c r="B45" s="13">
        <v>7</v>
      </c>
    </row>
    <row r="46" spans="1:2" x14ac:dyDescent="0.35">
      <c r="A46" s="12">
        <v>45</v>
      </c>
      <c r="B46" s="13">
        <v>6</v>
      </c>
    </row>
    <row r="47" spans="1:2" x14ac:dyDescent="0.35">
      <c r="A47" s="12">
        <v>46</v>
      </c>
      <c r="B47" s="13">
        <v>5</v>
      </c>
    </row>
    <row r="48" spans="1:2" x14ac:dyDescent="0.35">
      <c r="A48" s="12">
        <v>47</v>
      </c>
      <c r="B48" s="13">
        <v>4</v>
      </c>
    </row>
    <row r="49" spans="1:2" x14ac:dyDescent="0.35">
      <c r="A49" s="12">
        <v>48</v>
      </c>
      <c r="B49" s="13">
        <v>3</v>
      </c>
    </row>
    <row r="50" spans="1:2" x14ac:dyDescent="0.35">
      <c r="A50" s="12">
        <v>49</v>
      </c>
      <c r="B50" s="13">
        <v>2</v>
      </c>
    </row>
    <row r="51" spans="1:2" x14ac:dyDescent="0.35">
      <c r="A51" s="12">
        <v>50</v>
      </c>
      <c r="B51" s="13">
        <v>1</v>
      </c>
    </row>
    <row r="52" spans="1:2" x14ac:dyDescent="0.35">
      <c r="A52" s="12">
        <v>51</v>
      </c>
      <c r="B52" s="13">
        <v>1</v>
      </c>
    </row>
    <row r="53" spans="1:2" x14ac:dyDescent="0.35">
      <c r="A53" s="12">
        <v>52</v>
      </c>
      <c r="B53" s="13">
        <v>1</v>
      </c>
    </row>
    <row r="54" spans="1:2" x14ac:dyDescent="0.35">
      <c r="A54" s="12">
        <v>53</v>
      </c>
      <c r="B54" s="13">
        <v>1</v>
      </c>
    </row>
    <row r="55" spans="1:2" x14ac:dyDescent="0.35">
      <c r="A55" s="12">
        <v>54</v>
      </c>
      <c r="B55" s="13">
        <v>1</v>
      </c>
    </row>
    <row r="56" spans="1:2" x14ac:dyDescent="0.35">
      <c r="A56" s="12">
        <v>55</v>
      </c>
      <c r="B56" s="13">
        <v>1</v>
      </c>
    </row>
    <row r="57" spans="1:2" x14ac:dyDescent="0.35">
      <c r="A57" s="12">
        <v>56</v>
      </c>
      <c r="B57" s="13">
        <v>1</v>
      </c>
    </row>
    <row r="58" spans="1:2" x14ac:dyDescent="0.35">
      <c r="A58" s="12">
        <v>57</v>
      </c>
      <c r="B58" s="13">
        <v>1</v>
      </c>
    </row>
    <row r="59" spans="1:2" x14ac:dyDescent="0.35">
      <c r="A59" s="12">
        <v>58</v>
      </c>
      <c r="B59" s="13">
        <v>1</v>
      </c>
    </row>
    <row r="60" spans="1:2" x14ac:dyDescent="0.35">
      <c r="A60" s="12">
        <v>59</v>
      </c>
      <c r="B60" s="13">
        <v>1</v>
      </c>
    </row>
    <row r="61" spans="1:2" x14ac:dyDescent="0.35">
      <c r="A61" s="12">
        <v>60</v>
      </c>
      <c r="B61" s="13">
        <v>1</v>
      </c>
    </row>
  </sheetData>
  <phoneticPr fontId="4" type="noConversion"/>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F0FB9-597D-1C42-BC2B-EADFD72DB309}">
  <sheetPr codeName="Sheet11"/>
  <dimension ref="A1:F55"/>
  <sheetViews>
    <sheetView topLeftCell="A7" workbookViewId="0">
      <selection activeCell="C1" sqref="C1:C42"/>
    </sheetView>
  </sheetViews>
  <sheetFormatPr defaultColWidth="10.81640625" defaultRowHeight="15.5" x14ac:dyDescent="0.35"/>
  <cols>
    <col min="1" max="16384" width="10.81640625" style="45"/>
  </cols>
  <sheetData>
    <row r="1" spans="1:6" x14ac:dyDescent="0.35">
      <c r="A1" s="45">
        <v>1</v>
      </c>
      <c r="B1" s="45" t="s">
        <v>9</v>
      </c>
      <c r="C1" s="45">
        <v>1260</v>
      </c>
    </row>
    <row r="2" spans="1:6" x14ac:dyDescent="0.35">
      <c r="A2">
        <v>2</v>
      </c>
      <c r="B2" t="s">
        <v>75</v>
      </c>
      <c r="C2">
        <v>1250</v>
      </c>
      <c r="D2"/>
      <c r="E2" s="52"/>
      <c r="F2"/>
    </row>
    <row r="3" spans="1:6" x14ac:dyDescent="0.35">
      <c r="A3">
        <v>3</v>
      </c>
      <c r="B3" t="s">
        <v>14</v>
      </c>
      <c r="C3">
        <v>1120</v>
      </c>
      <c r="D3"/>
      <c r="E3" s="52"/>
      <c r="F3"/>
    </row>
    <row r="4" spans="1:6" x14ac:dyDescent="0.35">
      <c r="A4">
        <v>4</v>
      </c>
      <c r="B4" t="s">
        <v>8</v>
      </c>
      <c r="C4">
        <v>1110</v>
      </c>
      <c r="D4"/>
      <c r="E4" s="52"/>
      <c r="F4"/>
    </row>
    <row r="5" spans="1:6" x14ac:dyDescent="0.35">
      <c r="A5">
        <v>5</v>
      </c>
      <c r="B5" t="s">
        <v>94</v>
      </c>
      <c r="C5">
        <v>1030</v>
      </c>
      <c r="D5"/>
      <c r="E5" s="52"/>
      <c r="F5"/>
    </row>
    <row r="6" spans="1:6" x14ac:dyDescent="0.35">
      <c r="A6">
        <v>6</v>
      </c>
      <c r="B6" t="s">
        <v>11</v>
      </c>
      <c r="C6">
        <v>1010</v>
      </c>
      <c r="D6"/>
      <c r="E6" s="52"/>
      <c r="F6"/>
    </row>
    <row r="7" spans="1:6" x14ac:dyDescent="0.35">
      <c r="A7">
        <v>7</v>
      </c>
      <c r="B7" t="s">
        <v>59</v>
      </c>
      <c r="C7">
        <v>1000</v>
      </c>
      <c r="D7"/>
      <c r="E7" s="52"/>
      <c r="F7"/>
    </row>
    <row r="8" spans="1:6" x14ac:dyDescent="0.35">
      <c r="A8">
        <v>8</v>
      </c>
      <c r="B8" t="s">
        <v>26</v>
      </c>
      <c r="C8">
        <v>970</v>
      </c>
      <c r="D8"/>
      <c r="E8" s="52"/>
      <c r="F8"/>
    </row>
    <row r="9" spans="1:6" x14ac:dyDescent="0.35">
      <c r="A9">
        <v>9</v>
      </c>
      <c r="B9" t="s">
        <v>78</v>
      </c>
      <c r="C9">
        <v>950</v>
      </c>
      <c r="D9"/>
      <c r="E9" s="52"/>
      <c r="F9"/>
    </row>
    <row r="10" spans="1:6" x14ac:dyDescent="0.35">
      <c r="A10">
        <v>10</v>
      </c>
      <c r="B10" t="s">
        <v>74</v>
      </c>
      <c r="C10" t="s">
        <v>118</v>
      </c>
      <c r="D10"/>
      <c r="E10" s="52"/>
      <c r="F10"/>
    </row>
    <row r="11" spans="1:6" x14ac:dyDescent="0.35">
      <c r="A11">
        <v>11</v>
      </c>
      <c r="B11" t="s">
        <v>79</v>
      </c>
      <c r="C11" t="s">
        <v>118</v>
      </c>
      <c r="D11"/>
      <c r="E11" s="52"/>
      <c r="F11"/>
    </row>
    <row r="12" spans="1:6" x14ac:dyDescent="0.35">
      <c r="A12">
        <v>12</v>
      </c>
      <c r="B12" t="s">
        <v>80</v>
      </c>
      <c r="C12">
        <v>890</v>
      </c>
      <c r="D12"/>
      <c r="E12" s="52"/>
      <c r="F12"/>
    </row>
    <row r="13" spans="1:6" x14ac:dyDescent="0.35">
      <c r="A13">
        <v>13</v>
      </c>
      <c r="B13" t="s">
        <v>83</v>
      </c>
      <c r="C13">
        <v>880</v>
      </c>
      <c r="D13"/>
      <c r="E13" s="52"/>
      <c r="F13"/>
    </row>
    <row r="14" spans="1:6" x14ac:dyDescent="0.35">
      <c r="A14">
        <v>14</v>
      </c>
      <c r="B14" t="s">
        <v>27</v>
      </c>
      <c r="C14">
        <v>860</v>
      </c>
      <c r="D14"/>
      <c r="E14" s="52"/>
      <c r="F14"/>
    </row>
    <row r="15" spans="1:6" x14ac:dyDescent="0.35">
      <c r="A15">
        <v>15</v>
      </c>
      <c r="B15" t="s">
        <v>76</v>
      </c>
      <c r="C15">
        <v>810</v>
      </c>
      <c r="D15"/>
      <c r="E15" s="52"/>
      <c r="F15"/>
    </row>
    <row r="16" spans="1:6" x14ac:dyDescent="0.35">
      <c r="A16">
        <v>16</v>
      </c>
      <c r="B16" t="s">
        <v>119</v>
      </c>
      <c r="C16">
        <v>800</v>
      </c>
      <c r="D16"/>
      <c r="E16" s="52"/>
      <c r="F16"/>
    </row>
    <row r="17" spans="1:6" x14ac:dyDescent="0.35">
      <c r="A17">
        <v>17</v>
      </c>
      <c r="B17" t="s">
        <v>120</v>
      </c>
      <c r="C17">
        <v>800</v>
      </c>
      <c r="D17"/>
      <c r="E17" s="52"/>
      <c r="F17"/>
    </row>
    <row r="18" spans="1:6" x14ac:dyDescent="0.35">
      <c r="A18">
        <v>18</v>
      </c>
      <c r="B18" t="s">
        <v>121</v>
      </c>
      <c r="C18" t="s">
        <v>122</v>
      </c>
      <c r="D18"/>
      <c r="E18" s="52"/>
      <c r="F18"/>
    </row>
    <row r="19" spans="1:6" x14ac:dyDescent="0.35">
      <c r="A19">
        <v>19</v>
      </c>
      <c r="B19" t="s">
        <v>10</v>
      </c>
      <c r="C19" t="s">
        <v>123</v>
      </c>
      <c r="D19"/>
      <c r="E19" s="52"/>
      <c r="F19"/>
    </row>
    <row r="20" spans="1:6" x14ac:dyDescent="0.35">
      <c r="A20">
        <v>20</v>
      </c>
      <c r="B20" t="s">
        <v>124</v>
      </c>
      <c r="C20">
        <v>780</v>
      </c>
      <c r="D20"/>
      <c r="E20" s="52"/>
      <c r="F20"/>
    </row>
    <row r="21" spans="1:6" x14ac:dyDescent="0.35">
      <c r="A21">
        <v>21</v>
      </c>
      <c r="B21" t="s">
        <v>60</v>
      </c>
      <c r="C21">
        <v>750</v>
      </c>
      <c r="D21"/>
      <c r="E21" s="52"/>
      <c r="F21"/>
    </row>
    <row r="22" spans="1:6" x14ac:dyDescent="0.35">
      <c r="A22">
        <v>22</v>
      </c>
      <c r="B22" t="s">
        <v>125</v>
      </c>
      <c r="C22">
        <v>730</v>
      </c>
      <c r="D22"/>
      <c r="E22" s="52"/>
      <c r="F22"/>
    </row>
    <row r="23" spans="1:6" x14ac:dyDescent="0.35">
      <c r="A23">
        <v>23</v>
      </c>
      <c r="B23" t="s">
        <v>85</v>
      </c>
      <c r="C23">
        <v>730</v>
      </c>
      <c r="D23"/>
      <c r="E23" s="52"/>
      <c r="F23"/>
    </row>
    <row r="24" spans="1:6" x14ac:dyDescent="0.35">
      <c r="A24" s="45">
        <v>24</v>
      </c>
      <c r="B24" s="45" t="s">
        <v>87</v>
      </c>
      <c r="C24" s="45" t="s">
        <v>126</v>
      </c>
      <c r="F24" s="46"/>
    </row>
    <row r="25" spans="1:6" x14ac:dyDescent="0.35">
      <c r="A25" s="45">
        <v>25</v>
      </c>
      <c r="B25" s="45" t="s">
        <v>127</v>
      </c>
      <c r="C25" s="45">
        <v>720</v>
      </c>
      <c r="E25" s="46"/>
    </row>
    <row r="26" spans="1:6" x14ac:dyDescent="0.35">
      <c r="A26" s="45">
        <v>26</v>
      </c>
      <c r="B26" s="45" t="s">
        <v>81</v>
      </c>
      <c r="C26" s="45">
        <v>690</v>
      </c>
      <c r="E26" s="46"/>
    </row>
    <row r="27" spans="1:6" x14ac:dyDescent="0.35">
      <c r="A27" s="45">
        <v>27</v>
      </c>
      <c r="B27" s="45" t="s">
        <v>70</v>
      </c>
      <c r="C27" s="45">
        <v>650</v>
      </c>
      <c r="E27" s="46"/>
    </row>
    <row r="28" spans="1:6" x14ac:dyDescent="0.35">
      <c r="A28" s="45">
        <v>28</v>
      </c>
      <c r="B28" s="45" t="s">
        <v>128</v>
      </c>
      <c r="C28" s="45">
        <v>640</v>
      </c>
      <c r="E28" s="46"/>
    </row>
    <row r="29" spans="1:6" x14ac:dyDescent="0.35">
      <c r="A29" s="45">
        <v>29</v>
      </c>
      <c r="B29" s="45" t="s">
        <v>129</v>
      </c>
      <c r="C29" s="45" t="s">
        <v>130</v>
      </c>
      <c r="E29" s="46"/>
    </row>
    <row r="30" spans="1:6" x14ac:dyDescent="0.35">
      <c r="A30" s="45">
        <v>30</v>
      </c>
      <c r="B30" s="45" t="s">
        <v>17</v>
      </c>
      <c r="C30" s="45">
        <v>600</v>
      </c>
      <c r="E30" s="46"/>
    </row>
    <row r="31" spans="1:6" x14ac:dyDescent="0.35">
      <c r="A31" s="45">
        <v>31</v>
      </c>
      <c r="B31" s="45" t="s">
        <v>29</v>
      </c>
      <c r="C31" s="45">
        <v>600</v>
      </c>
      <c r="E31" s="46"/>
    </row>
    <row r="32" spans="1:6" x14ac:dyDescent="0.35">
      <c r="A32" s="45">
        <v>32</v>
      </c>
      <c r="B32" s="45" t="s">
        <v>16</v>
      </c>
      <c r="C32" s="45">
        <v>560</v>
      </c>
      <c r="E32" s="46"/>
    </row>
    <row r="33" spans="1:5" x14ac:dyDescent="0.35">
      <c r="A33" s="45">
        <v>33</v>
      </c>
      <c r="B33" s="45" t="s">
        <v>19</v>
      </c>
      <c r="C33" s="45">
        <v>550</v>
      </c>
      <c r="E33" s="46"/>
    </row>
    <row r="34" spans="1:5" x14ac:dyDescent="0.35">
      <c r="A34" s="45">
        <v>34</v>
      </c>
      <c r="B34" s="45" t="s">
        <v>20</v>
      </c>
      <c r="C34" s="45">
        <v>550</v>
      </c>
      <c r="E34" s="46"/>
    </row>
    <row r="35" spans="1:5" x14ac:dyDescent="0.35">
      <c r="A35" s="45">
        <v>35</v>
      </c>
      <c r="B35" s="45" t="s">
        <v>31</v>
      </c>
      <c r="C35" s="45">
        <v>510</v>
      </c>
      <c r="E35" s="46"/>
    </row>
    <row r="36" spans="1:5" x14ac:dyDescent="0.35">
      <c r="A36" s="45">
        <v>36</v>
      </c>
      <c r="B36" s="45" t="s">
        <v>65</v>
      </c>
      <c r="C36" s="45">
        <v>500</v>
      </c>
      <c r="E36" s="46"/>
    </row>
    <row r="37" spans="1:5" x14ac:dyDescent="0.35">
      <c r="A37" s="45">
        <v>37</v>
      </c>
      <c r="B37" s="45" t="s">
        <v>30</v>
      </c>
      <c r="C37" s="45">
        <v>490</v>
      </c>
      <c r="E37" s="46"/>
    </row>
    <row r="38" spans="1:5" x14ac:dyDescent="0.35">
      <c r="A38" s="45">
        <v>38</v>
      </c>
      <c r="B38" s="45" t="s">
        <v>15</v>
      </c>
      <c r="C38" s="45">
        <v>390</v>
      </c>
      <c r="E38" s="46"/>
    </row>
    <row r="39" spans="1:5" x14ac:dyDescent="0.35">
      <c r="A39" s="45">
        <v>39</v>
      </c>
      <c r="B39" s="45" t="s">
        <v>90</v>
      </c>
      <c r="C39" s="45">
        <v>390</v>
      </c>
      <c r="E39" s="46"/>
    </row>
    <row r="40" spans="1:5" x14ac:dyDescent="0.35">
      <c r="A40" s="45">
        <v>40</v>
      </c>
      <c r="B40" s="45" t="s">
        <v>21</v>
      </c>
      <c r="C40" s="45">
        <v>370</v>
      </c>
      <c r="E40" s="46"/>
    </row>
    <row r="41" spans="1:5" x14ac:dyDescent="0.35">
      <c r="A41" s="45">
        <v>41</v>
      </c>
      <c r="B41" s="45" t="s">
        <v>66</v>
      </c>
      <c r="C41" s="45" t="s">
        <v>131</v>
      </c>
      <c r="E41" s="46"/>
    </row>
    <row r="42" spans="1:5" x14ac:dyDescent="0.35">
      <c r="A42" s="45">
        <v>42</v>
      </c>
      <c r="B42" s="45" t="s">
        <v>110</v>
      </c>
      <c r="C42" s="45" t="s">
        <v>132</v>
      </c>
      <c r="E42" s="46"/>
    </row>
    <row r="43" spans="1:5" x14ac:dyDescent="0.35">
      <c r="E43" s="46"/>
    </row>
    <row r="44" spans="1:5" x14ac:dyDescent="0.35">
      <c r="E44" s="46"/>
    </row>
    <row r="45" spans="1:5" x14ac:dyDescent="0.35">
      <c r="E45" s="46"/>
    </row>
    <row r="46" spans="1:5" x14ac:dyDescent="0.35">
      <c r="E46" s="46"/>
    </row>
    <row r="47" spans="1:5" x14ac:dyDescent="0.35">
      <c r="E47" s="46"/>
    </row>
    <row r="48" spans="1:5" x14ac:dyDescent="0.35">
      <c r="E48" s="46"/>
    </row>
    <row r="49" spans="5:5" x14ac:dyDescent="0.35">
      <c r="E49" s="46"/>
    </row>
    <row r="50" spans="5:5" x14ac:dyDescent="0.35">
      <c r="E50" s="46"/>
    </row>
    <row r="51" spans="5:5" x14ac:dyDescent="0.35">
      <c r="E51" s="46"/>
    </row>
    <row r="52" spans="5:5" x14ac:dyDescent="0.35">
      <c r="E52" s="46"/>
    </row>
    <row r="53" spans="5:5" x14ac:dyDescent="0.35">
      <c r="E53" s="46"/>
    </row>
    <row r="54" spans="5:5" x14ac:dyDescent="0.35">
      <c r="E54" s="46"/>
    </row>
    <row r="55" spans="5:5" x14ac:dyDescent="0.35">
      <c r="E55" s="46"/>
    </row>
  </sheetData>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Fetcham</vt:lpstr>
      <vt:lpstr>Worcester Park</vt:lpstr>
      <vt:lpstr>Ashtead</vt:lpstr>
      <vt:lpstr>Cheam</vt:lpstr>
      <vt:lpstr>Chessington</vt:lpstr>
      <vt:lpstr>Tattenham Corner</vt:lpstr>
      <vt:lpstr>TBC</vt:lpstr>
      <vt:lpstr>Dorking</vt:lpstr>
      <vt:lpstr>League Results</vt:lpstr>
      <vt:lpstr>League_Points</vt:lpstr>
      <vt:lpstr>ImportSheet</vt:lpstr>
      <vt:lpstr>Ashtead!Print_Area</vt:lpstr>
      <vt:lpstr>Cheam!Print_Area</vt:lpstr>
      <vt:lpstr>Chessington!Print_Area</vt:lpstr>
      <vt:lpstr>Dorking!Print_Area</vt:lpstr>
      <vt:lpstr>Fetcham!Print_Area</vt:lpstr>
      <vt:lpstr>'League Results'!Print_Area</vt:lpstr>
      <vt:lpstr>'Tattenham Corner'!Print_Area</vt:lpstr>
      <vt:lpstr>TBC!Print_Area</vt:lpstr>
      <vt:lpstr>'Worcester Park'!Print_Area</vt:lpstr>
    </vt:vector>
  </TitlesOfParts>
  <Manager/>
  <Company>Ceres Power Limited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Sullivan</dc:creator>
  <cp:keywords/>
  <dc:description/>
  <cp:lastModifiedBy>Justin Farhall</cp:lastModifiedBy>
  <cp:revision/>
  <cp:lastPrinted>2021-12-15T23:23:57Z</cp:lastPrinted>
  <dcterms:created xsi:type="dcterms:W3CDTF">2015-10-28T13:33:46Z</dcterms:created>
  <dcterms:modified xsi:type="dcterms:W3CDTF">2022-01-19T19:34:29Z</dcterms:modified>
  <cp:category/>
  <cp:contentStatus/>
</cp:coreProperties>
</file>