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defaultThemeVersion="166925"/>
  <mc:AlternateContent xmlns:mc="http://schemas.openxmlformats.org/markup-compatibility/2006">
    <mc:Choice Requires="x15">
      <x15ac:absPath xmlns:x15ac="http://schemas.microsoft.com/office/spreadsheetml/2010/11/ac" url="C:\Users\daniel.sullivan\Downloads\"/>
    </mc:Choice>
  </mc:AlternateContent>
  <bookViews>
    <workbookView xWindow="0" yWindow="0" windowWidth="20490" windowHeight="8820" xr2:uid="{E33BBA4B-03FA-480C-AABC-677EAE2846A0}"/>
  </bookViews>
  <sheets>
    <sheet name="Results" sheetId="5" r:id="rId1"/>
    <sheet name="ControlSetup" sheetId="1" r:id="rId2"/>
    <sheet name="Rules" sheetId="7" r:id="rId3"/>
    <sheet name="Calculation" sheetId="6" r:id="rId4"/>
  </sheets>
  <definedNames>
    <definedName name="_xlnm._FilterDatabase" localSheetId="0" hidden="1">Results!$B$8:$B$8</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5" i="5" l="1"/>
  <c r="H15" i="5"/>
  <c r="F9" i="5"/>
  <c r="H9" i="5" s="1"/>
  <c r="F26" i="5"/>
  <c r="H26" i="5" s="1"/>
  <c r="F10" i="5"/>
  <c r="H10" i="5" s="1"/>
  <c r="F18" i="5"/>
  <c r="H18" i="5" s="1"/>
  <c r="F22" i="5"/>
  <c r="H22" i="5" s="1"/>
  <c r="F31" i="5"/>
  <c r="H31" i="5" s="1"/>
  <c r="F27" i="5"/>
  <c r="H27" i="5" s="1"/>
  <c r="F24" i="5"/>
  <c r="H24" i="5" s="1"/>
  <c r="F17" i="5"/>
  <c r="H17" i="5" s="1"/>
  <c r="F28" i="5"/>
  <c r="H28" i="5" s="1"/>
  <c r="F19" i="5" l="1"/>
  <c r="H19" i="5" s="1"/>
  <c r="F11" i="5"/>
  <c r="H11" i="5" s="1"/>
  <c r="F30" i="5" l="1"/>
  <c r="H30" i="5" s="1"/>
  <c r="F21" i="5"/>
  <c r="H21" i="5" s="1"/>
  <c r="F25" i="5"/>
  <c r="H25" i="5" s="1"/>
  <c r="F20" i="5"/>
  <c r="H20" i="5" s="1"/>
  <c r="F29" i="5"/>
  <c r="H29" i="5" s="1"/>
  <c r="F12" i="5"/>
  <c r="H12" i="5" s="1"/>
  <c r="F23" i="5" l="1"/>
  <c r="H23" i="5" s="1"/>
  <c r="AQ33" i="5" l="1"/>
  <c r="F16" i="5" l="1"/>
  <c r="H16" i="5" s="1"/>
  <c r="F14" i="5"/>
  <c r="H14" i="5" s="1"/>
  <c r="F13" i="5"/>
  <c r="H13" i="5" s="1"/>
  <c r="B9" i="5" l="1"/>
  <c r="B15" i="5"/>
  <c r="B10" i="5"/>
  <c r="B26" i="5"/>
  <c r="B22" i="5"/>
  <c r="B18" i="5"/>
  <c r="B27" i="5"/>
  <c r="B31" i="5"/>
  <c r="B24" i="5"/>
  <c r="B28" i="5"/>
  <c r="B17" i="5"/>
  <c r="B11" i="5"/>
  <c r="B19" i="5"/>
  <c r="B30" i="5"/>
  <c r="B25" i="5"/>
  <c r="B21" i="5"/>
  <c r="B20" i="5"/>
  <c r="B29" i="5"/>
  <c r="B12" i="5"/>
  <c r="B13" i="5"/>
  <c r="B23" i="5"/>
  <c r="B14" i="5"/>
  <c r="B16" i="5"/>
  <c r="D37" i="6"/>
  <c r="E37" i="6"/>
  <c r="F37" i="6"/>
  <c r="U37" i="6"/>
  <c r="D38" i="6"/>
  <c r="E38" i="6"/>
  <c r="F38" i="6"/>
  <c r="U38" i="6"/>
  <c r="U32" i="6"/>
  <c r="U33" i="6"/>
  <c r="U34" i="6"/>
  <c r="U35" i="6"/>
  <c r="U36" i="6"/>
  <c r="E13" i="6"/>
  <c r="E4" i="6"/>
  <c r="E5" i="6"/>
  <c r="E6" i="6"/>
  <c r="E7" i="6"/>
  <c r="E8" i="6"/>
  <c r="E9" i="6"/>
  <c r="E10" i="6"/>
  <c r="E11" i="6"/>
  <c r="E12" i="6"/>
  <c r="E14" i="6"/>
  <c r="E15" i="6"/>
  <c r="E16" i="6"/>
  <c r="E17" i="6"/>
  <c r="E18" i="6"/>
  <c r="E19" i="6"/>
  <c r="E20" i="6"/>
  <c r="E21" i="6"/>
  <c r="E22" i="6"/>
  <c r="E23" i="6"/>
  <c r="E24" i="6"/>
  <c r="E25" i="6"/>
  <c r="E26" i="6"/>
  <c r="E27" i="6"/>
  <c r="E28" i="6"/>
  <c r="E29" i="6"/>
  <c r="E30" i="6"/>
  <c r="E31" i="6"/>
  <c r="E32" i="6"/>
  <c r="E33" i="6"/>
  <c r="E34" i="6"/>
  <c r="E35" i="6"/>
  <c r="E36" i="6"/>
  <c r="D30" i="6"/>
  <c r="F30" i="6"/>
  <c r="D31" i="6"/>
  <c r="F31" i="6"/>
  <c r="D32" i="6"/>
  <c r="F32" i="6"/>
  <c r="D33" i="6"/>
  <c r="F33" i="6"/>
  <c r="D34" i="6"/>
  <c r="F34" i="6"/>
  <c r="D35" i="6"/>
  <c r="F35" i="6"/>
  <c r="D36" i="6"/>
  <c r="F36" i="6"/>
  <c r="F29" i="6"/>
  <c r="D29" i="6"/>
  <c r="F28" i="6"/>
  <c r="D28" i="6"/>
  <c r="F27" i="6"/>
  <c r="D27" i="6"/>
  <c r="F26" i="6"/>
  <c r="D26" i="6"/>
  <c r="F25" i="6"/>
  <c r="D25" i="6"/>
  <c r="F24" i="6"/>
  <c r="D24" i="6"/>
  <c r="F23" i="6"/>
  <c r="D23" i="6"/>
  <c r="F22" i="6"/>
  <c r="D22" i="6"/>
  <c r="F21" i="6"/>
  <c r="D21" i="6"/>
  <c r="F20" i="6"/>
  <c r="D20" i="6"/>
  <c r="F19" i="6"/>
  <c r="D19" i="6"/>
  <c r="F18" i="6"/>
  <c r="D18" i="6"/>
  <c r="F17" i="6"/>
  <c r="D17" i="6"/>
  <c r="F16" i="6"/>
  <c r="D16" i="6"/>
  <c r="F15" i="6"/>
  <c r="D15" i="6"/>
  <c r="F14" i="6"/>
  <c r="D14" i="6"/>
  <c r="F13" i="6"/>
  <c r="D13" i="6"/>
  <c r="F12" i="6"/>
  <c r="D12" i="6"/>
  <c r="F11" i="6"/>
  <c r="D11" i="6"/>
  <c r="F10" i="6"/>
  <c r="D10" i="6"/>
  <c r="F9" i="6"/>
  <c r="D9" i="6"/>
  <c r="F8" i="6"/>
  <c r="D8" i="6"/>
  <c r="F7" i="6"/>
  <c r="D7" i="6"/>
  <c r="F6" i="6"/>
  <c r="D6" i="6"/>
  <c r="F5" i="6"/>
  <c r="D5" i="6"/>
  <c r="O4" i="6"/>
  <c r="F4" i="6"/>
  <c r="D4" i="6"/>
  <c r="H33" i="6" l="1"/>
  <c r="H10" i="6"/>
  <c r="H18" i="6"/>
  <c r="H26" i="6"/>
  <c r="H35" i="6"/>
  <c r="H31" i="6"/>
  <c r="H11" i="6"/>
  <c r="H16" i="6"/>
  <c r="H38" i="6"/>
  <c r="H37" i="6"/>
  <c r="G4" i="6"/>
  <c r="P4" i="6"/>
  <c r="H32" i="6"/>
  <c r="H30" i="6"/>
  <c r="H36" i="6"/>
  <c r="H34" i="6"/>
  <c r="H15" i="6"/>
  <c r="L4" i="6"/>
  <c r="U4" i="6" s="1"/>
  <c r="H24" i="6"/>
  <c r="H4" i="6"/>
  <c r="H13" i="6"/>
  <c r="H29" i="6"/>
  <c r="H5" i="6"/>
  <c r="H23" i="6"/>
  <c r="H21" i="6"/>
  <c r="H8" i="6"/>
  <c r="H7" i="6"/>
  <c r="H19" i="6"/>
  <c r="H27" i="6"/>
  <c r="H14" i="6"/>
  <c r="H22" i="6"/>
  <c r="H9" i="6"/>
  <c r="H17" i="6"/>
  <c r="H25" i="6"/>
  <c r="H12" i="6"/>
  <c r="H20" i="6"/>
  <c r="H28" i="6"/>
  <c r="H6" i="6"/>
  <c r="J5" i="6" l="1"/>
  <c r="L5" i="6"/>
  <c r="G5" i="6" s="1"/>
  <c r="N4" i="6"/>
  <c r="M5" i="6" l="1"/>
  <c r="P5" i="6" s="1"/>
  <c r="R5" i="6"/>
  <c r="S5" i="6" s="1"/>
  <c r="L6" i="6" l="1"/>
  <c r="G6" i="6" s="1"/>
  <c r="J6" i="6"/>
  <c r="N5" i="6"/>
  <c r="O5" i="6"/>
  <c r="U5" i="6"/>
  <c r="R6" i="6" l="1"/>
  <c r="S6" i="6" s="1"/>
  <c r="M6" i="6"/>
  <c r="N6" i="6" l="1"/>
  <c r="P6" i="6"/>
  <c r="J7" i="6" s="1"/>
  <c r="O6" i="6"/>
  <c r="U6" i="6"/>
  <c r="L7" i="6" l="1"/>
  <c r="G7" i="6" s="1"/>
  <c r="M7" i="6"/>
  <c r="R7" i="6"/>
  <c r="S7" i="6" s="1"/>
  <c r="P7" i="6" l="1"/>
  <c r="O7" i="6"/>
  <c r="N7" i="6"/>
  <c r="U7" i="6"/>
  <c r="L8" i="6" l="1"/>
  <c r="G8" i="6" s="1"/>
  <c r="J8" i="6"/>
  <c r="R8" i="6" s="1"/>
  <c r="S8" i="6" s="1"/>
  <c r="M8" i="6"/>
  <c r="O8" i="6" s="1"/>
  <c r="N8" i="6" l="1"/>
  <c r="M9" i="6" s="1"/>
  <c r="P8" i="6"/>
  <c r="J9" i="6" s="1"/>
  <c r="R9" i="6" s="1"/>
  <c r="S9" i="6" s="1"/>
  <c r="U8" i="6"/>
  <c r="L9" i="6" l="1"/>
  <c r="G9" i="6" s="1"/>
  <c r="O9" i="6"/>
  <c r="U9" i="6" l="1"/>
  <c r="N9" i="6"/>
  <c r="M10" i="6" s="1"/>
  <c r="P9" i="6"/>
  <c r="L10" i="6" l="1"/>
  <c r="G10" i="6" s="1"/>
  <c r="J10" i="6"/>
  <c r="R10" i="6" s="1"/>
  <c r="S10" i="6" s="1"/>
  <c r="O10" i="6"/>
  <c r="N10" i="6" l="1"/>
  <c r="M11" i="6" s="1"/>
  <c r="P10" i="6"/>
  <c r="L11" i="6" s="1"/>
  <c r="G11" i="6" s="1"/>
  <c r="U10" i="6"/>
  <c r="J11" i="6" l="1"/>
  <c r="R11" i="6" s="1"/>
  <c r="S11" i="6" s="1"/>
  <c r="P11" i="6"/>
  <c r="J12" i="6" s="1"/>
  <c r="N11" i="6"/>
  <c r="O11" i="6"/>
  <c r="U11" i="6" l="1"/>
  <c r="L12" i="6"/>
  <c r="G12" i="6" s="1"/>
  <c r="M12" i="6"/>
  <c r="R12" i="6"/>
  <c r="S12" i="6" s="1"/>
  <c r="P12" i="6" l="1"/>
  <c r="J13" i="6" s="1"/>
  <c r="O12" i="6"/>
  <c r="N12" i="6"/>
  <c r="U12" i="6"/>
  <c r="R13" i="6" l="1"/>
  <c r="S13" i="6" s="1"/>
  <c r="L13" i="6"/>
  <c r="G13" i="6" s="1"/>
  <c r="M13" i="6"/>
  <c r="P13" i="6" l="1"/>
  <c r="J14" i="6" s="1"/>
  <c r="O13" i="6"/>
  <c r="U13" i="6"/>
  <c r="N13" i="6"/>
  <c r="L14" i="6" l="1"/>
  <c r="G14" i="6" s="1"/>
  <c r="R14" i="6"/>
  <c r="S14" i="6" s="1"/>
  <c r="M14" i="6"/>
  <c r="P14" i="6" l="1"/>
  <c r="J15" i="6" s="1"/>
  <c r="U14" i="6"/>
  <c r="O14" i="6"/>
  <c r="N14" i="6"/>
  <c r="L15" i="6" l="1"/>
  <c r="G15" i="6" s="1"/>
  <c r="R15" i="6"/>
  <c r="S15" i="6" s="1"/>
  <c r="M15" i="6"/>
  <c r="N15" i="6" l="1"/>
  <c r="U15" i="6"/>
  <c r="O15" i="6"/>
  <c r="P15" i="6"/>
  <c r="J16" i="6" s="1"/>
  <c r="R16" i="6" s="1"/>
  <c r="S16" i="6" s="1"/>
  <c r="M16" i="6" l="1"/>
  <c r="O16" i="6" s="1"/>
  <c r="L16" i="6"/>
  <c r="G16" i="6" s="1"/>
  <c r="N16" i="6" l="1"/>
  <c r="M17" i="6" s="1"/>
  <c r="P16" i="6"/>
  <c r="U16" i="6"/>
  <c r="L17" i="6" l="1"/>
  <c r="G17" i="6" s="1"/>
  <c r="J17" i="6"/>
  <c r="R17" i="6" s="1"/>
  <c r="S17" i="6" s="1"/>
  <c r="O17" i="6"/>
  <c r="P17" i="6" l="1"/>
  <c r="J18" i="6" s="1"/>
  <c r="R18" i="6" s="1"/>
  <c r="S18" i="6" s="1"/>
  <c r="N17" i="6"/>
  <c r="M18" i="6" s="1"/>
  <c r="U17" i="6"/>
  <c r="L18" i="6" l="1"/>
  <c r="G18" i="6" s="1"/>
  <c r="O18" i="6"/>
  <c r="N18" i="6" l="1"/>
  <c r="M19" i="6" s="1"/>
  <c r="P18" i="6"/>
  <c r="U18" i="6"/>
  <c r="L19" i="6" l="1"/>
  <c r="G19" i="6" s="1"/>
  <c r="J19" i="6"/>
  <c r="R19" i="6" s="1"/>
  <c r="S19" i="6" s="1"/>
  <c r="O19" i="6"/>
  <c r="N19" i="6" l="1"/>
  <c r="M20" i="6" s="1"/>
  <c r="P19" i="6"/>
  <c r="J20" i="6" s="1"/>
  <c r="U19" i="6"/>
  <c r="L20" i="6" l="1"/>
  <c r="G20" i="6" s="1"/>
  <c r="R20" i="6"/>
  <c r="S20" i="6" s="1"/>
  <c r="O20" i="6"/>
  <c r="N20" i="6" l="1"/>
  <c r="M21" i="6" s="1"/>
  <c r="P20" i="6"/>
  <c r="J21" i="6" s="1"/>
  <c r="R21" i="6" s="1"/>
  <c r="S21" i="6" s="1"/>
  <c r="U20" i="6"/>
  <c r="L21" i="6" l="1"/>
  <c r="G21" i="6" s="1"/>
  <c r="O21" i="6"/>
  <c r="N21" i="6" l="1"/>
  <c r="M22" i="6" s="1"/>
  <c r="U21" i="6"/>
  <c r="P21" i="6"/>
  <c r="L22" i="6" s="1"/>
  <c r="G22" i="6" s="1"/>
  <c r="J22" i="6" l="1"/>
  <c r="R22" i="6" s="1"/>
  <c r="S22" i="6" s="1"/>
  <c r="N22" i="6"/>
  <c r="P22" i="6"/>
  <c r="J23" i="6" s="1"/>
  <c r="O22" i="6"/>
  <c r="U22" i="6" l="1"/>
  <c r="R23" i="6"/>
  <c r="S23" i="6" s="1"/>
  <c r="L23" i="6"/>
  <c r="G23" i="6" s="1"/>
  <c r="M23" i="6"/>
  <c r="N23" i="6" l="1"/>
  <c r="U23" i="6"/>
  <c r="O23" i="6"/>
  <c r="P23" i="6"/>
  <c r="J24" i="6" s="1"/>
  <c r="R24" i="6" s="1"/>
  <c r="S24" i="6" s="1"/>
  <c r="M24" i="6" l="1"/>
  <c r="O24" i="6" s="1"/>
  <c r="L24" i="6"/>
  <c r="G24" i="6" s="1"/>
  <c r="U24" i="6" l="1"/>
  <c r="N24" i="6"/>
  <c r="M25" i="6" s="1"/>
  <c r="O25" i="6" s="1"/>
  <c r="P24" i="6"/>
  <c r="L25" i="6" l="1"/>
  <c r="G25" i="6" s="1"/>
  <c r="J25" i="6"/>
  <c r="R25" i="6" s="1"/>
  <c r="S25" i="6" s="1"/>
  <c r="N25" i="6" l="1"/>
  <c r="M26" i="6" s="1"/>
  <c r="O26" i="6" s="1"/>
  <c r="P25" i="6"/>
  <c r="U25" i="6"/>
  <c r="L26" i="6" l="1"/>
  <c r="J26" i="6"/>
  <c r="R26" i="6" s="1"/>
  <c r="S26" i="6" s="1"/>
  <c r="G26" i="6" l="1"/>
  <c r="N26" i="6"/>
  <c r="M27" i="6" s="1"/>
  <c r="O27" i="6" s="1"/>
  <c r="U26" i="6"/>
  <c r="P26" i="6"/>
  <c r="J27" i="6" l="1"/>
  <c r="L27" i="6"/>
  <c r="G27" i="6" l="1"/>
  <c r="N27" i="6"/>
  <c r="M28" i="6" s="1"/>
  <c r="R27" i="6"/>
  <c r="S27" i="6" s="1"/>
  <c r="P27" i="6"/>
  <c r="U27" i="6" l="1"/>
  <c r="L28" i="6"/>
  <c r="J28" i="6"/>
  <c r="R28" i="6" s="1"/>
  <c r="S28" i="6" s="1"/>
  <c r="O28" i="6"/>
  <c r="G28" i="6" l="1"/>
  <c r="N28" i="6"/>
  <c r="M29" i="6" s="1"/>
  <c r="P28" i="6"/>
  <c r="U28" i="6"/>
  <c r="O29" i="6" l="1"/>
  <c r="J29" i="6"/>
  <c r="L29" i="6"/>
  <c r="P29" i="6" s="1"/>
  <c r="R29" i="6" l="1"/>
  <c r="S29" i="6" s="1"/>
  <c r="U29" i="6"/>
  <c r="G29" i="6"/>
  <c r="J30" i="6" s="1"/>
  <c r="N29" i="6"/>
  <c r="L30" i="6" l="1"/>
  <c r="G30" i="6" s="1"/>
  <c r="R30" i="6"/>
  <c r="S30" i="6" s="1"/>
  <c r="M30" i="6"/>
  <c r="U31" i="6"/>
  <c r="N30" i="6" l="1"/>
  <c r="U30" i="6"/>
  <c r="X4" i="6" s="1"/>
  <c r="O30" i="6"/>
  <c r="P30" i="6"/>
  <c r="M31" i="6" l="1"/>
  <c r="O31" i="6" s="1"/>
  <c r="J31" i="6"/>
  <c r="R31" i="6" s="1"/>
  <c r="S31" i="6" s="1"/>
  <c r="L31" i="6"/>
  <c r="P31" i="6" l="1"/>
  <c r="G31" i="6"/>
  <c r="N31" i="6"/>
  <c r="M32" i="6" s="1"/>
  <c r="L32" i="6" l="1"/>
  <c r="G32" i="6" s="1"/>
  <c r="J32" i="6"/>
  <c r="R32" i="6" s="1"/>
  <c r="S32" i="6" s="1"/>
  <c r="O32" i="6"/>
  <c r="N32" i="6" l="1"/>
  <c r="M33" i="6" s="1"/>
  <c r="O33" i="6" s="1"/>
  <c r="P32" i="6"/>
  <c r="L33" i="6" s="1"/>
  <c r="J33" i="6" l="1"/>
  <c r="R33" i="6" s="1"/>
  <c r="S33" i="6" s="1"/>
  <c r="P33" i="6"/>
  <c r="G33" i="6"/>
  <c r="N33" i="6"/>
  <c r="M34" i="6" s="1"/>
  <c r="L34" i="6" l="1"/>
  <c r="G34" i="6" s="1"/>
  <c r="J34" i="6"/>
  <c r="R34" i="6" s="1"/>
  <c r="S34" i="6" s="1"/>
  <c r="P34" i="6"/>
  <c r="O34" i="6"/>
  <c r="N34" i="6" l="1"/>
  <c r="M35" i="6"/>
  <c r="O35" i="6" s="1"/>
  <c r="L35" i="6"/>
  <c r="G35" i="6" s="1"/>
  <c r="J35" i="6"/>
  <c r="R35" i="6" s="1"/>
  <c r="S35" i="6" s="1"/>
  <c r="P35" i="6" l="1"/>
  <c r="N35" i="6"/>
  <c r="M36" i="6" s="1"/>
  <c r="L36" i="6" l="1"/>
  <c r="G36" i="6" s="1"/>
  <c r="J36" i="6"/>
  <c r="R36" i="6" s="1"/>
  <c r="S36" i="6" s="1"/>
  <c r="O36" i="6"/>
  <c r="N36" i="6" l="1"/>
  <c r="M37" i="6" s="1"/>
  <c r="P36" i="6"/>
  <c r="L37" i="6" l="1"/>
  <c r="G37" i="6" s="1"/>
  <c r="J37" i="6"/>
  <c r="R37" i="6" s="1"/>
  <c r="S37" i="6" s="1"/>
  <c r="O37" i="6"/>
  <c r="N37" i="6" l="1"/>
  <c r="M38" i="6" s="1"/>
  <c r="P37" i="6"/>
  <c r="L38" i="6" l="1"/>
  <c r="G38" i="6" s="1"/>
  <c r="J38" i="6"/>
  <c r="R38" i="6" s="1"/>
  <c r="S38" i="6" s="1"/>
  <c r="O38" i="6"/>
  <c r="P38" i="6" l="1"/>
  <c r="N3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Sullivan</author>
  </authors>
  <commentList>
    <comment ref="D5" authorId="0" shapeId="0" xr:uid="{EFF14597-EC34-4055-A754-58E841FAD066}">
      <text>
        <r>
          <rPr>
            <b/>
            <sz val="9"/>
            <color indexed="81"/>
            <rFont val="Tahoma"/>
            <family val="2"/>
          </rPr>
          <t>Daniel Sullivan:</t>
        </r>
        <r>
          <rPr>
            <sz val="9"/>
            <color indexed="81"/>
            <rFont val="Tahoma"/>
            <family val="2"/>
          </rPr>
          <t xml:space="preserve">
Does 5 still count towards the completion of phase 1?</t>
        </r>
      </text>
    </comment>
  </commentList>
</comments>
</file>

<file path=xl/sharedStrings.xml><?xml version="1.0" encoding="utf-8"?>
<sst xmlns="http://schemas.openxmlformats.org/spreadsheetml/2006/main" count="178" uniqueCount="128">
  <si>
    <t>Control Number</t>
  </si>
  <si>
    <t>Colour</t>
  </si>
  <si>
    <t>Points</t>
  </si>
  <si>
    <t>Yellow</t>
  </si>
  <si>
    <t>Green</t>
  </si>
  <si>
    <t>Brown</t>
  </si>
  <si>
    <t>Blue</t>
  </si>
  <si>
    <t>Pink</t>
  </si>
  <si>
    <t>Black</t>
  </si>
  <si>
    <t>Red</t>
  </si>
  <si>
    <t>Name</t>
  </si>
  <si>
    <t>Club</t>
  </si>
  <si>
    <t>Type</t>
  </si>
  <si>
    <t>R</t>
  </si>
  <si>
    <t>C</t>
  </si>
  <si>
    <t>Score</t>
  </si>
  <si>
    <t>Phase</t>
  </si>
  <si>
    <t>Red Control Number</t>
  </si>
  <si>
    <t>Colour Control Number</t>
  </si>
  <si>
    <t>Red or Colour</t>
  </si>
  <si>
    <t>Control Value</t>
  </si>
  <si>
    <t>Counting colour</t>
  </si>
  <si>
    <t>Phase 1 Criteria</t>
  </si>
  <si>
    <t>Control Order</t>
  </si>
  <si>
    <t>Control Colour</t>
  </si>
  <si>
    <t>Phase 2 Criteria</t>
  </si>
  <si>
    <t>Colour in order</t>
  </si>
  <si>
    <t>Total</t>
  </si>
  <si>
    <t>Time</t>
  </si>
  <si>
    <t>Penalty</t>
  </si>
  <si>
    <t>Time Allowed</t>
  </si>
  <si>
    <t>Time Penalty</t>
  </si>
  <si>
    <t>seconds</t>
  </si>
  <si>
    <t>hh:mm:ss</t>
  </si>
  <si>
    <t>point(s) per</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</si>
  <si>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</si>
  <si>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</si>
  <si>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</si>
  <si>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</si>
  <si>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</si>
  <si>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</si>
  <si>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</si>
  <si>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</si>
  <si>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</si>
  <si>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</si>
  <si>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</si>
  <si>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</si>
  <si>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</si>
  <si>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</si>
  <si>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</si>
  <si>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</si>
  <si>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</si>
  <si>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</si>
  <si>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</si>
  <si>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</si>
  <si>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</si>
  <si>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</si>
  <si>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</si>
  <si>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</si>
  <si>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</si>
  <si>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</si>
  <si>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Pos</t>
  </si>
  <si>
    <t>27</t>
  </si>
  <si>
    <t>Unique red preceded by a colour</t>
  </si>
  <si>
    <t>Red in play?</t>
  </si>
  <si>
    <t>Unique colour with red in play?</t>
  </si>
  <si>
    <t>28</t>
  </si>
  <si>
    <t>29</t>
  </si>
  <si>
    <t>30</t>
  </si>
  <si>
    <t>Colour in play?</t>
  </si>
  <si>
    <t>31</t>
  </si>
  <si>
    <t>32</t>
  </si>
  <si>
    <t>33</t>
  </si>
  <si>
    <t>34</t>
  </si>
  <si>
    <t>35</t>
  </si>
  <si>
    <t>No.</t>
  </si>
  <si>
    <t>Rule</t>
  </si>
  <si>
    <t>Example</t>
  </si>
  <si>
    <t>Play must start with a Red - this is the start of Phase 1.</t>
  </si>
  <si>
    <t>Controls must be visited in the order Red-Colour during Phase 1. No Red or Colour can be revisited during Phase 1.</t>
  </si>
  <si>
    <t>If a Colour is revisited, it will not score and the following Red will not score. A unique Colour can be visited after the revisited Colour and play will resume with that Colour counting along with the subsequent Red.</t>
  </si>
  <si>
    <t>If a red is revisited, the subsequent Colour will not count. Play will resume when a new Red is visited.</t>
  </si>
  <si>
    <t>If multiple Reds are visited without visiting any Colours, only the first Red will score.</t>
  </si>
  <si>
    <t>Once all 10 unique Reds and the subsequent Colour have been visited, Phase 2 begins during which, one of each Colour should be visited in the following order: Yellow, Green, Brown, Blue, Pink and Black.</t>
  </si>
  <si>
    <t>Colours previously visited during Phase 1 may be revisited during Phase 2, unless the last Colour from Phase 1 is Yellow, in which case a different Yellow must be visited.</t>
  </si>
  <si>
    <t>If a Colour is visited out of sequence during Phase 2, the correct Colour can be visited and the sequence resumed, but the incorrect Colour will not count.</t>
  </si>
  <si>
    <t>The Finish can be punched at any time to finish the course.</t>
  </si>
  <si>
    <t>Example Explanation</t>
  </si>
  <si>
    <t>The Black (27) does not count because a Red has not yet been visited.</t>
  </si>
  <si>
    <t>The Pink (25) has already been visited, so does not count. The following Red (5) also does not count. The Yellow (12) has not been visited, so counts because Red (4) is still in play.</t>
  </si>
  <si>
    <t>Highest Colour visited</t>
  </si>
  <si>
    <t>The controls have been visited in the correct sequence, Red-Colour-Red-Colour… and each Red and Colour has not been visited before.</t>
  </si>
  <si>
    <t>Column1</t>
  </si>
  <si>
    <t>Column2</t>
  </si>
  <si>
    <t>Column3</t>
  </si>
  <si>
    <t>Column4</t>
  </si>
  <si>
    <t>Column5</t>
  </si>
  <si>
    <t>Column6</t>
  </si>
  <si>
    <t>Column7</t>
  </si>
  <si>
    <t>The Red (2) has already been visited, so does not count. The following Colour, Yellow (13) also does not count, because there is no red in play. The Red (4) has not been visited before so counts and allows the following Yellow (14) to count.</t>
  </si>
  <si>
    <t>The Red (2) and Red(3) have been visited without visiting a Colour after the first Red (1) and therefore do not count. The first Red (1) is still in play, so Yellow (11) counts.</t>
  </si>
  <si>
    <t>The last Colour from Phase 1 was Yellow (13) and therefore a different Yellow (14) must be visited to start Phase 2.</t>
  </si>
  <si>
    <t>Blue (23) has been visited out of order and does not count. Brown (19) is then visited which is the correct order and therefore counts.</t>
  </si>
  <si>
    <t>Jill Blount</t>
  </si>
  <si>
    <t>Rob McCaffrey</t>
  </si>
  <si>
    <t>Hannah Gray</t>
  </si>
  <si>
    <t>Helen Rivers</t>
  </si>
  <si>
    <t>Justin Farhall</t>
  </si>
  <si>
    <t>Ellie Upton</t>
  </si>
  <si>
    <t>Brian Farhall</t>
  </si>
  <si>
    <t>Nigel Saker</t>
  </si>
  <si>
    <t>Mike Elliot</t>
  </si>
  <si>
    <t>Peter Martin</t>
  </si>
  <si>
    <t>Steve Blount</t>
  </si>
  <si>
    <t>Jane Lambert</t>
  </si>
  <si>
    <t>Bob Reed</t>
  </si>
  <si>
    <t>Philip Gristwood</t>
  </si>
  <si>
    <t>Ben Rivers</t>
  </si>
  <si>
    <t>Mark Woodall</t>
  </si>
  <si>
    <t>Michael White</t>
  </si>
  <si>
    <t>Deborah Sullivan &amp; Teresa Sullivan</t>
  </si>
  <si>
    <t>Luke Davis</t>
  </si>
  <si>
    <t>Paul Todd</t>
  </si>
  <si>
    <t>Leianne Upton</t>
  </si>
  <si>
    <t>Dan Sullivan</t>
  </si>
  <si>
    <t>David Float</t>
  </si>
  <si>
    <t>Mole Valley Orienteering Club - Summer Series</t>
  </si>
  <si>
    <t>Orienteering Snooker - Nork Park - 12th July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</si>
</sst>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m]:ss"/>
  </numFmts>
  <fonts count="12" x14ac:knownFonts="1">
    <font>
      <sz val="11"/>
      <color theme="1"/>
      <name val="Calibri"/>
      <family val="2"/>
      <scheme val="minor"/>
    </font>
    <font>
      <sz val="11"/>
      <color rgb="FF3F3F76"/>
      <name val="Calibri"/>
      <family val="2"/>
      <scheme val="minor"/>
    </font>
    <font>
      <sz val="11"/>
      <color rgb="FF000000"/>
      <name val="Calibri"/>
      <family val="2"/>
    </font>
    <font>
      <sz val="9"/>
      <color indexed="81"/>
      <name val="Tahoma"/>
      <family val="2"/>
    </font>
    <font>
      <b/>
      <sz val="9"/>
      <color indexed="81"/>
      <name val="Tahoma"/>
      <family val="2"/>
    </font>
    <font>
      <sz val="11"/>
      <color theme="1"/>
      <name val="Calibri"/>
      <family val="2"/>
      <scheme val="minor"/>
    </font>
    <font>
      <sz val="11"/>
      <color theme="1"/>
      <name val="Calibri"/>
      <family val="2"/>
      <scheme val="minor"/>
    </font>
    <font>
      <sz val="11"/>
      <color rgb="FF3F3F76"/>
      <name val="Calibri"/>
      <family val="2"/>
      <scheme val="minor"/>
    </font>
    <font>
      <sz val="11"/>
      <color theme="1"/>
      <name val="Calibri"/>
      <family val="2"/>
      <scheme val="minor"/>
    </font>
    <font>
      <b/>
      <sz val="11"/>
      <color theme="1"/>
      <name val="Calibri"/>
      <family val="2"/>
      <scheme val="minor"/>
    </font>
    <font>
      <b/>
      <sz val="15"/>
      <color theme="3"/>
      <name val="Calibri"/>
      <family val="2"/>
      <scheme val="minor"/>
    </font>
    <font>
      <b/>
      <sz val="13"/>
      <color theme="3"/>
      <name val="Calibri"/>
      <family val="2"/>
      <scheme val="minor"/>
    </font>
  </fonts>
  <fills count="11">
    <fill>
      <patternFill patternType="none"/>
    </fill>
    <fill>
      <patternFill patternType="gray125"/>
    </fill>
    <fill>
      <patternFill patternType="solid">
        <fgColor rgb="FFFFCC99"/>
      </patternFill>
    </fill>
    <fill>
      <patternFill patternType="solid">
        <fgColor indexed="9"/>
        <bgColor indexed="64"/>
      </patternFill>
    </fill>
    <fill>
      <patternFill patternType="solid">
        <fgColor rgb="FFFFB6C1"/>
        <bgColor indexed="64"/>
      </patternFill>
    </fill>
    <fill>
      <patternFill patternType="solid">
        <fgColor rgb="FFFFD700"/>
        <bgColor indexed="64"/>
      </patternFill>
    </fill>
    <fill>
      <patternFill patternType="solid">
        <fgColor rgb="FF3CB371"/>
        <bgColor indexed="64"/>
      </patternFill>
    </fill>
    <fill>
      <patternFill patternType="solid">
        <fgColor rgb="FFA0522D"/>
        <bgColor indexed="64"/>
      </patternFill>
    </fill>
    <fill>
      <patternFill patternType="solid">
        <fgColor rgb="FF6495ED"/>
        <bgColor indexed="64"/>
      </patternFill>
    </fill>
    <fill>
      <patternFill patternType="solid">
        <fgColor rgb="FFDC2828"/>
        <bgColor indexed="64"/>
      </patternFill>
    </fill>
    <fill>
      <patternFill patternType="solid">
        <fgColor rgb="FF696969"/>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diagonalUp="1" diagonalDown="1">
      <left/>
      <right/>
      <top/>
      <bottom/>
      <diagonal style="thin">
        <color rgb="FF000000"/>
      </diagonal>
    </border>
    <border>
      <left style="thin">
        <color theme="1"/>
      </left>
      <right style="thin">
        <color theme="1"/>
      </right>
      <top style="thin">
        <color theme="1"/>
      </top>
      <bottom style="thin">
        <color theme="1"/>
      </bottom>
      <diagonal/>
    </border>
    <border diagonalUp="1" diagonalDown="1">
      <left style="thin">
        <color theme="1"/>
      </left>
      <right style="thin">
        <color theme="1"/>
      </right>
      <top style="thin">
        <color theme="1"/>
      </top>
      <bottom style="thin">
        <color theme="1"/>
      </bottom>
      <diagonal style="thin">
        <color rgb="FF000000"/>
      </diagonal>
    </border>
    <border>
      <left/>
      <right/>
      <top/>
      <bottom style="thick">
        <color theme="4"/>
      </bottom>
      <diagonal/>
    </border>
    <border>
      <left/>
      <right/>
      <top/>
      <bottom style="thick">
        <color theme="4" tint="0.499984740745262"/>
      </bottom>
      <diagonal/>
    </border>
  </borders>
  <cellStyleXfs count="4">
    <xf numFmtId="0" fontId="0" fillId="0" borderId="0"/>
    <xf numFmtId="0" fontId="1" fillId="2" borderId="1" applyNumberFormat="0" applyAlignment="0" applyProtection="0"/>
    <xf numFmtId="0" fontId="10" fillId="0" borderId="13" applyNumberFormat="0" applyFill="0" applyAlignment="0" applyProtection="0"/>
    <xf numFmtId="0" fontId="11" fillId="0" borderId="14" applyNumberFormat="0" applyFill="0" applyAlignment="0" applyProtection="0"/>
  </cellStyleXfs>
  <cellXfs count="87">
    <xf numFmtId="0" fontId="0" fillId="0" borderId="0" xfId="0"/>
    <xf numFmtId="0" fontId="0" fillId="0" borderId="0" xfId="0" applyAlignment="1">
      <alignment horizontal="center"/>
    </xf>
    <xf numFmtId="0" fontId="0" fillId="0" borderId="0" xfId="0" applyAlignment="1">
      <alignment horizontal="center" wrapText="1"/>
    </xf>
    <xf numFmtId="0" fontId="5" fillId="0" borderId="0" xfId="0" applyFont="1"/>
    <xf numFmtId="0" fontId="5" fillId="0" borderId="0" xfId="0" applyFont="1" applyAlignment="1">
      <alignment wrapText="1"/>
    </xf>
    <xf numFmtId="0" fontId="5" fillId="0" borderId="0" xfId="0" applyFont="1" applyAlignment="1">
      <alignment vertical="center"/>
    </xf>
    <xf numFmtId="0" fontId="5" fillId="0" borderId="0" xfId="0" applyFont="1" applyAlignment="1">
      <alignment horizontal="center"/>
    </xf>
    <xf numFmtId="0" fontId="5" fillId="0" borderId="0" xfId="0" applyFont="1" applyAlignment="1">
      <alignment horizontal="center" vertical="center"/>
    </xf>
    <xf numFmtId="0" fontId="5" fillId="0" borderId="0" xfId="0" applyFont="1" applyAlignment="1">
      <alignment vertical="top" wrapText="1"/>
    </xf>
    <xf numFmtId="0" fontId="5" fillId="10" borderId="12" xfId="0" applyFont="1" applyFill="1" applyBorder="1" applyAlignment="1">
      <alignment horizontal="center" vertical="center"/>
    </xf>
    <xf numFmtId="0" fontId="5" fillId="9" borderId="11" xfId="0" applyFont="1" applyFill="1" applyBorder="1" applyAlignment="1">
      <alignment horizontal="center" vertical="center"/>
    </xf>
    <xf numFmtId="0" fontId="5" fillId="5" borderId="11" xfId="0" applyFont="1" applyFill="1" applyBorder="1" applyAlignment="1">
      <alignment horizontal="center" vertical="center"/>
    </xf>
    <xf numFmtId="0" fontId="5" fillId="10" borderId="11" xfId="0" applyFont="1" applyFill="1" applyBorder="1" applyAlignment="1">
      <alignment horizontal="center" vertical="center"/>
    </xf>
    <xf numFmtId="0" fontId="5" fillId="4" borderId="11" xfId="0" applyFont="1" applyFill="1" applyBorder="1" applyAlignment="1">
      <alignment horizontal="center" vertical="center"/>
    </xf>
    <xf numFmtId="0" fontId="5" fillId="4" borderId="12" xfId="0" applyFont="1" applyFill="1" applyBorder="1" applyAlignment="1">
      <alignment horizontal="center" vertical="center"/>
    </xf>
    <xf numFmtId="0" fontId="5" fillId="9" borderId="12" xfId="0" applyFont="1" applyFill="1" applyBorder="1" applyAlignment="1">
      <alignment horizontal="center" vertical="center"/>
    </xf>
    <xf numFmtId="0" fontId="5" fillId="5" borderId="12" xfId="0" applyFont="1" applyFill="1" applyBorder="1" applyAlignment="1">
      <alignment horizontal="center" vertical="center"/>
    </xf>
    <xf numFmtId="0" fontId="5" fillId="6" borderId="11" xfId="0" applyFont="1" applyFill="1" applyBorder="1" applyAlignment="1">
      <alignment horizontal="center" vertical="center"/>
    </xf>
    <xf numFmtId="0" fontId="5" fillId="7" borderId="11" xfId="0" applyFont="1" applyFill="1" applyBorder="1" applyAlignment="1">
      <alignment horizontal="center" vertical="center"/>
    </xf>
    <xf numFmtId="0" fontId="5" fillId="8" borderId="11" xfId="0" applyFont="1" applyFill="1" applyBorder="1" applyAlignment="1">
      <alignment horizontal="center" vertical="center"/>
    </xf>
    <xf numFmtId="0" fontId="5" fillId="8" borderId="12" xfId="0" applyFont="1" applyFill="1" applyBorder="1" applyAlignment="1">
      <alignment horizontal="center" vertical="center"/>
    </xf>
    <xf numFmtId="0" fontId="6" fillId="0" borderId="0" xfId="0" applyFont="1" applyAlignment="1" applyProtection="1">
      <alignment horizontal="center"/>
    </xf>
    <xf numFmtId="0" fontId="6" fillId="0" borderId="0" xfId="0" applyFont="1" applyProtection="1"/>
    <xf numFmtId="0" fontId="6" fillId="0" borderId="0" xfId="0" applyFont="1" applyFill="1" applyAlignment="1" applyProtection="1">
      <alignment horizontal="center" wrapText="1"/>
    </xf>
    <xf numFmtId="0" fontId="6" fillId="0" borderId="0" xfId="0" applyFont="1" applyAlignment="1" applyProtection="1">
      <alignment horizontal="center" textRotation="90"/>
    </xf>
    <xf numFmtId="0" fontId="6" fillId="0" borderId="0" xfId="0" applyFont="1" applyAlignment="1" applyProtection="1">
      <alignment horizontal="center" textRotation="90" wrapText="1"/>
    </xf>
    <xf numFmtId="0" fontId="6" fillId="0" borderId="0" xfId="0" applyFont="1" applyFill="1" applyAlignment="1" applyProtection="1">
      <alignment horizontal="center" textRotation="90"/>
    </xf>
    <xf numFmtId="0" fontId="7" fillId="2" borderId="1" xfId="1" applyFont="1" applyAlignment="1" applyProtection="1">
      <alignment horizontal="center"/>
      <protection locked="0"/>
    </xf>
    <xf numFmtId="0" fontId="6" fillId="0" borderId="0" xfId="0" applyFont="1" applyFill="1" applyAlignment="1" applyProtection="1">
      <alignment horizontal="center"/>
    </xf>
    <xf numFmtId="0" fontId="6" fillId="0" borderId="2" xfId="0" applyFont="1" applyBorder="1" applyAlignment="1" applyProtection="1"/>
    <xf numFmtId="0" fontId="6" fillId="0" borderId="3" xfId="0" applyFont="1" applyBorder="1" applyAlignment="1" applyProtection="1">
      <alignment horizontal="center"/>
    </xf>
    <xf numFmtId="0" fontId="8" fillId="0" borderId="0" xfId="0" applyFont="1"/>
    <xf numFmtId="0" fontId="8" fillId="0" borderId="0" xfId="0" applyFont="1" applyAlignment="1">
      <alignment horizontal="center"/>
    </xf>
    <xf numFmtId="0" fontId="9" fillId="0" borderId="7" xfId="0" applyFont="1" applyBorder="1"/>
    <xf numFmtId="164" fontId="8" fillId="0" borderId="8" xfId="0" applyNumberFormat="1" applyFont="1" applyBorder="1" applyProtection="1">
      <protection locked="0"/>
    </xf>
    <xf numFmtId="0" fontId="9" fillId="0" borderId="9" xfId="0" applyFont="1" applyBorder="1"/>
    <xf numFmtId="0" fontId="9" fillId="0" borderId="4" xfId="0" applyFont="1" applyBorder="1"/>
    <xf numFmtId="0" fontId="8" fillId="0" borderId="5" xfId="0" applyFont="1" applyBorder="1" applyProtection="1">
      <protection locked="0"/>
    </xf>
    <xf numFmtId="0" fontId="9" fillId="0" borderId="5" xfId="0" applyFont="1" applyBorder="1"/>
    <xf numFmtId="1" fontId="8" fillId="0" borderId="5" xfId="0" applyNumberFormat="1" applyFont="1" applyBorder="1" applyProtection="1">
      <protection locked="0"/>
    </xf>
    <xf numFmtId="0" fontId="9" fillId="0" borderId="6" xfId="0" applyFont="1" applyBorder="1"/>
    <xf numFmtId="1" fontId="8" fillId="0" borderId="0" xfId="0" applyNumberFormat="1" applyFont="1"/>
    <xf numFmtId="1" fontId="9" fillId="0" borderId="0" xfId="0" applyNumberFormat="1" applyFont="1" applyBorder="1" applyAlignment="1">
      <alignment horizontal="center"/>
    </xf>
    <xf numFmtId="0" fontId="9" fillId="0" borderId="0" xfId="0" applyFont="1" applyBorder="1" applyAlignment="1">
      <alignment wrapText="1"/>
    </xf>
    <xf numFmtId="0" fontId="9" fillId="0" borderId="0" xfId="0" applyFont="1" applyBorder="1" applyAlignment="1">
      <alignment horizontal="center"/>
    </xf>
    <xf numFmtId="165" fontId="9" fillId="0" borderId="0" xfId="0" applyNumberFormat="1" applyFont="1" applyBorder="1" applyAlignment="1">
      <alignment horizontal="center"/>
    </xf>
    <xf numFmtId="0" fontId="8" fillId="0" borderId="0" xfId="0" applyFont="1" applyAlignment="1">
      <alignment wrapText="1"/>
    </xf>
    <xf numFmtId="0" fontId="9" fillId="0" borderId="0" xfId="0" applyFont="1" applyAlignment="1">
      <alignment horizontal="center" wrapText="1"/>
    </xf>
    <xf numFmtId="165" fontId="8" fillId="0" borderId="0" xfId="0" applyNumberFormat="1" applyFont="1" applyAlignment="1">
      <alignment horizontal="center"/>
    </xf>
    <xf numFmtId="1" fontId="8" fillId="0" borderId="0" xfId="0" applyNumberFormat="1" applyFont="1" applyAlignment="1">
      <alignment horizontal="center"/>
    </xf>
    <xf numFmtId="0" fontId="8" fillId="9" borderId="0" xfId="0" applyFont="1" applyFill="1" applyBorder="1" applyAlignment="1">
      <alignment horizontal="center"/>
    </xf>
    <xf numFmtId="0" fontId="8" fillId="10" borderId="0" xfId="0" applyFont="1" applyFill="1" applyBorder="1" applyAlignment="1">
      <alignment horizontal="center"/>
    </xf>
    <xf numFmtId="0" fontId="8" fillId="4" borderId="0" xfId="0" applyFont="1" applyFill="1" applyBorder="1" applyAlignment="1">
      <alignment horizontal="center"/>
    </xf>
    <xf numFmtId="0" fontId="8" fillId="5" borderId="0" xfId="0" applyFont="1" applyFill="1" applyBorder="1" applyAlignment="1">
      <alignment horizontal="center"/>
    </xf>
    <xf numFmtId="0" fontId="8" fillId="6" borderId="0" xfId="0" applyFont="1" applyFill="1" applyBorder="1" applyAlignment="1">
      <alignment horizontal="center"/>
    </xf>
    <xf numFmtId="0" fontId="8" fillId="7" borderId="0" xfId="0" applyFont="1" applyFill="1" applyBorder="1" applyAlignment="1">
      <alignment horizontal="center"/>
    </xf>
    <xf numFmtId="0" fontId="8" fillId="8" borderId="10" xfId="0" applyFont="1" applyFill="1" applyBorder="1" applyAlignment="1">
      <alignment horizontal="center"/>
    </xf>
    <xf numFmtId="0" fontId="8" fillId="8" borderId="0" xfId="0" applyFont="1" applyFill="1" applyBorder="1" applyAlignment="1">
      <alignment horizontal="center"/>
    </xf>
    <xf numFmtId="0" fontId="8" fillId="3" borderId="0" xfId="0" applyFont="1" applyFill="1" applyAlignment="1">
      <alignment horizontal="center"/>
    </xf>
    <xf numFmtId="0" fontId="8" fillId="9" borderId="10" xfId="0" applyFont="1" applyFill="1" applyBorder="1" applyAlignment="1">
      <alignment horizontal="center"/>
    </xf>
    <xf numFmtId="0" fontId="8" fillId="5" borderId="10" xfId="0" applyFont="1" applyFill="1" applyBorder="1" applyAlignment="1">
      <alignment horizontal="center"/>
    </xf>
    <xf numFmtId="0" fontId="9" fillId="0" borderId="0" xfId="0" applyNumberFormat="1" applyFont="1" applyAlignment="1">
      <alignment horizontal="center" wrapText="1"/>
    </xf>
    <xf numFmtId="0" fontId="8" fillId="10" borderId="10" xfId="0" applyFont="1" applyFill="1" applyBorder="1" applyAlignment="1">
      <alignment horizontal="center"/>
    </xf>
    <xf numFmtId="0" fontId="8" fillId="0" borderId="0" xfId="0" applyFont="1" applyFill="1" applyBorder="1" applyAlignment="1">
      <alignment horizontal="center"/>
    </xf>
    <xf numFmtId="0" fontId="8" fillId="7" borderId="10" xfId="0" applyFont="1" applyFill="1" applyBorder="1" applyAlignment="1">
      <alignment horizontal="center"/>
    </xf>
    <xf numFmtId="0" fontId="8" fillId="6" borderId="10" xfId="0" applyFont="1" applyFill="1" applyBorder="1" applyAlignment="1">
      <alignment horizontal="center"/>
    </xf>
    <xf numFmtId="0" fontId="0" fillId="0" borderId="0" xfId="0" applyFont="1"/>
    <xf numFmtId="0" fontId="0" fillId="0" borderId="0" xfId="0" applyFont="1" applyAlignment="1">
      <alignment horizontal="center"/>
    </xf>
    <xf numFmtId="165" fontId="0" fillId="0" borderId="0" xfId="0" applyNumberFormat="1" applyFont="1" applyAlignment="1">
      <alignment horizontal="center"/>
    </xf>
    <xf numFmtId="1" fontId="0" fillId="0" borderId="0" xfId="0" applyNumberFormat="1" applyFont="1" applyAlignment="1">
      <alignment horizontal="center"/>
    </xf>
    <xf numFmtId="0" fontId="0" fillId="0" borderId="0" xfId="0" applyFont="1" applyFill="1" applyBorder="1" applyAlignment="1">
      <alignment horizontal="center"/>
    </xf>
    <xf numFmtId="0" fontId="0" fillId="3" borderId="0" xfId="0" applyFont="1" applyFill="1" applyAlignment="1">
      <alignment horizontal="center"/>
    </xf>
    <xf numFmtId="0" fontId="0" fillId="9" borderId="0" xfId="0" applyFont="1" applyFill="1" applyBorder="1" applyAlignment="1">
      <alignment horizontal="center"/>
    </xf>
    <xf numFmtId="0" fontId="0" fillId="4" borderId="0" xfId="0" applyFont="1" applyFill="1" applyBorder="1" applyAlignment="1">
      <alignment horizontal="center"/>
    </xf>
    <xf numFmtId="0" fontId="0" fillId="10" borderId="0" xfId="0" applyFont="1" applyFill="1" applyBorder="1" applyAlignment="1">
      <alignment horizontal="center"/>
    </xf>
    <xf numFmtId="0" fontId="0" fillId="7" borderId="0" xfId="0" applyFont="1" applyFill="1" applyBorder="1" applyAlignment="1">
      <alignment horizontal="center"/>
    </xf>
    <xf numFmtId="0" fontId="0" fillId="6" borderId="0" xfId="0" applyFont="1" applyFill="1" applyBorder="1" applyAlignment="1">
      <alignment horizontal="center"/>
    </xf>
    <xf numFmtId="0" fontId="0" fillId="9" borderId="10" xfId="0" applyFont="1" applyFill="1" applyBorder="1" applyAlignment="1">
      <alignment horizontal="center"/>
    </xf>
    <xf numFmtId="0" fontId="0" fillId="8" borderId="0" xfId="0" applyFont="1" applyFill="1" applyBorder="1" applyAlignment="1">
      <alignment horizontal="center"/>
    </xf>
    <xf numFmtId="0" fontId="0" fillId="5" borderId="0" xfId="0" applyFont="1" applyFill="1" applyBorder="1" applyAlignment="1">
      <alignment horizontal="center"/>
    </xf>
    <xf numFmtId="0" fontId="0" fillId="5" borderId="10" xfId="0" applyFont="1" applyFill="1" applyBorder="1" applyAlignment="1">
      <alignment horizontal="center"/>
    </xf>
    <xf numFmtId="0" fontId="0" fillId="6" borderId="10" xfId="0" applyFont="1" applyFill="1" applyBorder="1" applyAlignment="1">
      <alignment horizontal="center"/>
    </xf>
    <xf numFmtId="0" fontId="0" fillId="7" borderId="10" xfId="0" applyFont="1" applyFill="1" applyBorder="1" applyAlignment="1">
      <alignment horizontal="center"/>
    </xf>
    <xf numFmtId="0" fontId="0" fillId="10" borderId="10" xfId="0" applyFont="1" applyFill="1" applyBorder="1" applyAlignment="1">
      <alignment horizontal="center"/>
    </xf>
    <xf numFmtId="0" fontId="10" fillId="0" borderId="13" xfId="2" applyAlignment="1">
      <alignment horizontal="center"/>
    </xf>
    <xf numFmtId="0" fontId="11" fillId="0" borderId="14" xfId="3" applyAlignment="1">
      <alignment horizontal="center"/>
    </xf>
    <xf numFmtId="0" fontId="6" fillId="0" borderId="0" xfId="0" applyFont="1" applyAlignment="1" applyProtection="1">
      <alignment horizontal="center" wrapText="1"/>
    </xf>
  </cellXfs>
  <cellStyles count="4">
    <cellStyle name="Heading 1" xfId="2" builtinId="16"/>
    <cellStyle name="Heading 2" xfId="3" builtinId="17"/>
    <cellStyle name="Input" xfId="1" builtinId="20"/>
    <cellStyle name="Normal" xfId="0" builtinId="0"/>
  </cellStyles>
  <dxfs count="57">
    <dxf>
      <font>
        <color rgb="FF006100"/>
      </font>
      <fill>
        <patternFill>
          <bgColor rgb="FFC6EFCE"/>
        </patternFill>
      </fill>
    </dxf>
    <dxf>
      <font>
        <color rgb="FF006100"/>
      </font>
      <fill>
        <patternFill>
          <bgColor rgb="FFC6EFCE"/>
        </patternFill>
      </fill>
    </dxf>
    <dxf>
      <font>
        <color rgb="FF006100"/>
      </font>
      <fill>
        <patternFill>
          <bgColor rgb="FFC6EFCE"/>
        </patternFill>
      </fill>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indexed="9"/>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indexed="9"/>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indexed="9"/>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indexed="9"/>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indexed="9"/>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ss"/>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0" formatCode="Genera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indexed="9"/>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161925</xdr:colOff>
          <xdr:row>4</xdr:row>
          <xdr:rowOff>95250</xdr:rowOff>
        </xdr:from>
        <xdr:to>
          <xdr:col>10</xdr:col>
          <xdr:colOff>85725</xdr:colOff>
          <xdr:row>5</xdr:row>
          <xdr:rowOff>180975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Calculate Score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2062E7-552E-4653-8578-81792FCF0D3F}" name="Table5" displayName="Table5" ref="B8:AQ31" totalsRowShown="0" headerRowDxfId="56" dataDxfId="55">
  <autoFilter ref="B8:AQ31" xr:uid="{DB8CEDB8-AD24-480F-85FA-9AA839E9389B}"/>
  <sortState ref="B9:AQ31">
    <sortCondition ref="B8:B31"/>
  </sortState>
  <tableColumns count="42">
    <tableColumn id="1" xr3:uid="{AC586159-E5E1-46D8-BCA2-12BCB528B288}" name="Pos" dataDxfId="54">
      <calculatedColumnFormula>IF(H9="","",RANK(H9,Table5[Total],0))</calculatedColumnFormula>
    </tableColumn>
    <tableColumn id="2" xr3:uid="{BC452F4B-2836-4AD2-9458-10FA0D7ED15A}" name="Name" dataDxfId="53"/>
    <tableColumn id="3" xr3:uid="{34A3FB52-EA3B-4F35-BF1A-EE1BCC20857B}" name="Club" dataDxfId="52"/>
    <tableColumn id="4" xr3:uid="{690361BA-91FE-4A95-B8E2-AF7743343137}" name="Time" dataDxfId="51"/>
    <tableColumn id="5" xr3:uid="{4D6FEEBA-6002-4898-9293-B42ADE74DA13}" name="Penalty" dataDxfId="50">
      <calculatedColumnFormula>IF(E9&gt;$D$5,$D$6*CEILING((E9-$D$5), ($F$6/86400))/($F$6/86400),)</calculatedColumnFormula>
    </tableColumn>
    <tableColumn id="6" xr3:uid="{F7FA587F-1ACF-4F80-BAE0-1F7E6759A0E6}" name="Score" dataDxfId="49"/>
    <tableColumn id="7" xr3:uid="{EA8C58C0-1316-41AC-891B-389E3D9C9C73}" name="Total" dataDxfId="48">
      <calculatedColumnFormula>IF(G9&lt;&gt;"",G9-F9,"")</calculatedColumnFormula>
    </tableColumn>
    <tableColumn id="8" xr3:uid="{40A68515-9EF7-46A8-9BA6-8D7AC1EDA7A3}" name="1" dataDxfId="47"/>
    <tableColumn id="9" xr3:uid="{91750F79-686B-46C6-BC0C-6666FD7D4D21}" name="2" dataDxfId="46"/>
    <tableColumn id="10" xr3:uid="{BB895DFE-5956-4D43-97BB-575AEF8F024D}" name="3" dataDxfId="45"/>
    <tableColumn id="11" xr3:uid="{F191EF7F-EFD3-4EFB-8B42-C8BAD181EE13}" name="4" dataDxfId="44"/>
    <tableColumn id="12" xr3:uid="{CA01E6AC-28BD-48FB-9A50-B72127999C21}" name="5" dataDxfId="43"/>
    <tableColumn id="13" xr3:uid="{75246FF1-3409-4FA3-86FC-3ED56F387916}" name="6" dataDxfId="42"/>
    <tableColumn id="14" xr3:uid="{58D0D271-9C81-4C31-9729-4FFC212E8EAC}" name="7" dataDxfId="41"/>
    <tableColumn id="15" xr3:uid="{D741044C-1AC6-43C3-B209-1A9F74812562}" name="8" dataDxfId="40"/>
    <tableColumn id="16" xr3:uid="{70F8EE09-12C5-4027-A26D-0EFBA20A79D3}" name="9" dataDxfId="39"/>
    <tableColumn id="17" xr3:uid="{EB857CEE-7491-4D3B-9FB0-E948BB3CA91F}" name="10" dataDxfId="38"/>
    <tableColumn id="18" xr3:uid="{2EC46559-AD8E-4760-A205-AB29F0A787AC}" name="11" dataDxfId="37"/>
    <tableColumn id="19" xr3:uid="{10A398B3-7464-4741-B3C9-43BAD1585F95}" name="12" dataDxfId="36"/>
    <tableColumn id="20" xr3:uid="{707DCFC9-8476-4859-AE2F-6ECD6E366614}" name="13" dataDxfId="35"/>
    <tableColumn id="21" xr3:uid="{3E5D1111-ABB8-4938-8D4D-83F25D33E797}" name="14" dataDxfId="34"/>
    <tableColumn id="22" xr3:uid="{269EBA1F-3064-4D04-BF58-AB79E196ACDC}" name="15" dataDxfId="33"/>
    <tableColumn id="23" xr3:uid="{4E67D20E-83B9-4C6E-B8C5-13FD8ECBFEA9}" name="16" dataDxfId="32"/>
    <tableColumn id="24" xr3:uid="{6F930E12-5828-421B-A5C3-5F064770FDA9}" name="17" dataDxfId="31"/>
    <tableColumn id="25" xr3:uid="{8E4C5639-DA7C-44B2-AF00-29EBBF3E66D4}" name="18" dataDxfId="30"/>
    <tableColumn id="26" xr3:uid="{735C1859-548D-4AEE-B06D-F0B588ECC7D7}" name="19" dataDxfId="29"/>
    <tableColumn id="27" xr3:uid="{1FB947D1-9268-4CD4-8BEB-B5FA240D9E74}" name="20" dataDxfId="28"/>
    <tableColumn id="28" xr3:uid="{A1B0CFF0-4876-4B0C-9793-198E8AC8515D}" name="21" dataDxfId="27"/>
    <tableColumn id="29" xr3:uid="{1E106AE2-EC88-4D9B-A815-374C70F46282}" name="22" dataDxfId="26"/>
    <tableColumn id="30" xr3:uid="{1E352CF5-23E9-4519-A093-B47A74148D00}" name="23" dataDxfId="25"/>
    <tableColumn id="31" xr3:uid="{749CE187-7C4E-400C-81AA-424C833CD7D2}" name="24" dataDxfId="24"/>
    <tableColumn id="32" xr3:uid="{EA79A1A7-4488-4C6F-8629-DE0D803047AC}" name="25" dataDxfId="23"/>
    <tableColumn id="33" xr3:uid="{1B898FBD-3D24-4944-8331-3100313CB77D}" name="26" dataDxfId="22"/>
    <tableColumn id="34" xr3:uid="{FB1EEF42-1DA2-4382-B3FA-BFB07CFF0989}" name="27" dataDxfId="21"/>
    <tableColumn id="35" xr3:uid="{03A5229B-8925-4FDD-911D-884DC811BE32}" name="28" dataDxfId="20"/>
    <tableColumn id="36" xr3:uid="{4E9D79DF-6B6C-45DA-81AB-430F095CECF2}" name="29" dataDxfId="19"/>
    <tableColumn id="37" xr3:uid="{DE078AF0-7E3F-41B7-A28E-FC62D2658833}" name="30" dataDxfId="18"/>
    <tableColumn id="38" xr3:uid="{D47417BE-9463-4D82-9D3B-B5E82E66FE68}" name="31" dataDxfId="17"/>
    <tableColumn id="39" xr3:uid="{C9C6E70A-DE90-4522-A543-10C4E9DA4264}" name="32" dataDxfId="16"/>
    <tableColumn id="40" xr3:uid="{8FBAE07D-95AB-4C71-8B58-9144C416B160}" name="33" dataDxfId="15"/>
    <tableColumn id="41" xr3:uid="{298584D9-DF12-4A1D-BCB1-2343D8199C12}" name="34" dataDxfId="14"/>
    <tableColumn id="42" xr3:uid="{422D853E-99B4-47F6-992A-342F668E92E1}" name="35" dataDxfId="13"/>
  </tableColumns>
  <tableStyleInfo name="TableStyleLight15"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EE2A1C1-2CAF-42BD-BA8D-3446189352F2}" name="Table4" displayName="Table4" ref="B2:E30" totalsRowShown="0">
  <autoFilter ref="B2:E30" xr:uid="{13FD3EA5-DFFC-4FC1-8EE6-D88FBAC93ABD}">
    <filterColumn colId="0" hiddenButton="1"/>
    <filterColumn colId="1" hiddenButton="1"/>
    <filterColumn colId="2" hiddenButton="1"/>
    <filterColumn colId="3" hiddenButton="1"/>
  </autoFilter>
  <tableColumns count="4">
    <tableColumn id="1" xr3:uid="{5DB4705B-A98A-451B-86E7-790D17CC4633}" name="Control Number" dataDxfId="12"/>
    <tableColumn id="2" xr3:uid="{48DA93F5-CF99-43A5-B733-D4652F739B09}" name="Colour" dataDxfId="11"/>
    <tableColumn id="3" xr3:uid="{4F8E5A62-9C90-4697-965B-57D8C18685E3}" name="Points" dataDxfId="10"/>
    <tableColumn id="4" xr3:uid="{3589796C-C615-484C-BDA7-CF8A9D6EB025}" name="Type" dataDxfId="9"/>
  </tableColumns>
  <tableStyleInfo name="TableStyleLight15" showFirstColumn="1"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A77A77-F35A-4825-AF2C-1C4B15F3FB06}" name="Table1" displayName="Table1" ref="B2:L11" totalsRowShown="0" headerRowDxfId="8">
  <autoFilter ref="B2:L11" xr:uid="{B2CDBB00-528F-4A60-92A8-F7B593D8D8AE}"/>
  <tableColumns count="11">
    <tableColumn id="1" xr3:uid="{59185200-6841-4718-B029-FE5D8590670D}" name="No." dataDxfId="7"/>
    <tableColumn id="2" xr3:uid="{967304B6-5DF1-45D7-8770-687D19D6E6AF}" name="Rule" dataDxfId="6"/>
    <tableColumn id="3" xr3:uid="{E3541E2E-3DC8-4781-9F1A-C90168DE1915}" name="Example Explanation" dataDxfId="5"/>
    <tableColumn id="4" xr3:uid="{B379FA61-ABA6-4A78-85DF-8F61CAE7BCD9}" name="Example"/>
    <tableColumn id="5" xr3:uid="{861B7742-1BB7-4A9E-B2DD-96AD43C08421}" name="Column1"/>
    <tableColumn id="6" xr3:uid="{69CDC802-FFAB-4623-9180-B7B91A42DDFE}" name="Column2"/>
    <tableColumn id="7" xr3:uid="{B36C681A-54C7-47D8-91F4-F0EDBA2DC6BF}" name="Column3"/>
    <tableColumn id="8" xr3:uid="{549A8E84-D282-48A5-ABEC-D19B354A034A}" name="Column4"/>
    <tableColumn id="9" xr3:uid="{1B3CA6CD-D976-4CCE-96FA-4422FBF6E8DC}" name="Column5"/>
    <tableColumn id="10" xr3:uid="{7CED844D-C580-4CC5-863F-AB3BC606DC46}" name="Column6" dataDxfId="4"/>
    <tableColumn id="11" xr3:uid="{9BB036BF-8B04-4653-A773-480FCE845FC5}" name="Column7" dataDxfId="3"/>
  </tableColumns>
  <tableStyleInfo name="TableStyleLight15" showFirstColumn="1"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DBD4F-E20E-462A-A075-D06514BBAAEA}">
  <sheetPr codeName="Sheet5">
    <pageSetUpPr fitToPage="1"/>
  </sheetPr>
  <dimension ref="B2:AQ33"/>
  <sheetViews>
    <sheetView tabSelected="1" workbookViewId="0">
      <pane ySplit="8" topLeftCell="A9" activePane="bottomLeft" state="frozen"/>
      <selection pane="bottomLeft" activeCell="C13" sqref="C13"/>
    </sheetView>
  </sheetViews>
  <sheetFormatPr defaultColWidth="9" defaultRowHeight="15" x14ac:dyDescent="0.25"/>
  <cols>
    <col min="1" max="1" width="1.7109375" style="31" customWidth="1"/>
    <col min="2" max="2" width="5.42578125" style="31" customWidth="1"/>
    <col min="3" max="3" width="18.7109375" style="31" customWidth="1"/>
    <col min="4" max="8" width="9.7109375" style="31" customWidth="1"/>
    <col min="9" max="34" width="3.140625" style="32" customWidth="1"/>
    <col min="35" max="43" width="3.140625" style="31" customWidth="1"/>
    <col min="44" max="16384" width="9" style="31"/>
  </cols>
  <sheetData>
    <row r="2" spans="2:43" ht="20.25" thickBot="1" x14ac:dyDescent="0.35">
      <c r="B2" s="84" t="s">
        <v>126</v>
      </c>
      <c r="C2" s="84"/>
      <c r="D2" s="84"/>
      <c r="E2" s="84"/>
      <c r="F2" s="84"/>
      <c r="G2" s="84"/>
      <c r="I2" s="85" t="s">
        <v>127</v>
      </c>
      <c r="J2" s="85"/>
      <c r="K2" s="85"/>
      <c r="L2" s="85"/>
      <c r="M2" s="85"/>
      <c r="N2" s="85"/>
      <c r="O2" s="85"/>
      <c r="P2" s="85"/>
      <c r="Q2" s="85"/>
      <c r="R2" s="85"/>
      <c r="S2" s="85"/>
      <c r="T2" s="85"/>
      <c r="U2" s="85"/>
      <c r="V2" s="85"/>
      <c r="W2" s="85"/>
      <c r="X2" s="85"/>
      <c r="Y2" s="85"/>
      <c r="Z2" s="85"/>
    </row>
    <row r="3" spans="2:43" ht="15.75" thickTop="1" x14ac:dyDescent="0.25"/>
    <row r="4" spans="2:43" ht="5.0999999999999996" customHeight="1" thickBot="1" x14ac:dyDescent="0.3"/>
    <row r="5" spans="2:43" ht="14.45" customHeight="1" thickBot="1" x14ac:dyDescent="0.3">
      <c r="C5" s="33" t="s">
        <v>30</v>
      </c>
      <c r="D5" s="34">
        <v>3.125E-2</v>
      </c>
      <c r="E5" s="35" t="s">
        <v>33</v>
      </c>
    </row>
    <row r="6" spans="2:43" ht="14.45" customHeight="1" thickBot="1" x14ac:dyDescent="0.3">
      <c r="C6" s="36" t="s">
        <v>31</v>
      </c>
      <c r="D6" s="37">
        <v>1</v>
      </c>
      <c r="E6" s="38" t="s">
        <v>34</v>
      </c>
      <c r="F6" s="39">
        <v>10</v>
      </c>
      <c r="G6" s="40" t="s">
        <v>32</v>
      </c>
    </row>
    <row r="7" spans="2:43" ht="5.0999999999999996" customHeight="1" x14ac:dyDescent="0.25">
      <c r="F7" s="41"/>
      <c r="G7" s="31">
        <v>0</v>
      </c>
    </row>
    <row r="8" spans="2:43" s="46" customFormat="1" ht="27.95" customHeight="1" x14ac:dyDescent="0.25">
      <c r="B8" s="42" t="s">
        <v>61</v>
      </c>
      <c r="C8" s="43" t="s">
        <v>10</v>
      </c>
      <c r="D8" s="44" t="s">
        <v>11</v>
      </c>
      <c r="E8" s="45" t="s">
        <v>28</v>
      </c>
      <c r="F8" s="42" t="s">
        <v>29</v>
      </c>
      <c r="G8" s="42" t="s">
        <v>15</v>
      </c>
      <c r="H8" s="42" t="s">
        <v>27</v>
      </c>
      <c r="I8" s="42" t="s">
        <v>35</v>
      </c>
      <c r="J8" s="44" t="s">
        <v>36</v>
      </c>
      <c r="K8" s="44" t="s">
        <v>37</v>
      </c>
      <c r="L8" s="42" t="s">
        <v>38</v>
      </c>
      <c r="M8" s="42" t="s">
        <v>39</v>
      </c>
      <c r="N8" s="42" t="s">
        <v>40</v>
      </c>
      <c r="O8" s="42" t="s">
        <v>41</v>
      </c>
      <c r="P8" s="44" t="s">
        <v>42</v>
      </c>
      <c r="Q8" s="44" t="s">
        <v>43</v>
      </c>
      <c r="R8" s="42" t="s">
        <v>44</v>
      </c>
      <c r="S8" s="42" t="s">
        <v>45</v>
      </c>
      <c r="T8" s="42" t="s">
        <v>46</v>
      </c>
      <c r="U8" s="42" t="s">
        <v>47</v>
      </c>
      <c r="V8" s="44" t="s">
        <v>48</v>
      </c>
      <c r="W8" s="44" t="s">
        <v>49</v>
      </c>
      <c r="X8" s="42" t="s">
        <v>50</v>
      </c>
      <c r="Y8" s="42" t="s">
        <v>51</v>
      </c>
      <c r="Z8" s="42" t="s">
        <v>52</v>
      </c>
      <c r="AA8" s="42" t="s">
        <v>53</v>
      </c>
      <c r="AB8" s="44" t="s">
        <v>54</v>
      </c>
      <c r="AC8" s="44" t="s">
        <v>55</v>
      </c>
      <c r="AD8" s="42" t="s">
        <v>56</v>
      </c>
      <c r="AE8" s="42" t="s">
        <v>57</v>
      </c>
      <c r="AF8" s="42" t="s">
        <v>58</v>
      </c>
      <c r="AG8" s="42" t="s">
        <v>59</v>
      </c>
      <c r="AH8" s="44" t="s">
        <v>60</v>
      </c>
      <c r="AI8" s="42" t="s">
        <v>62</v>
      </c>
      <c r="AJ8" s="42" t="s">
        <v>66</v>
      </c>
      <c r="AK8" s="42" t="s">
        <v>67</v>
      </c>
      <c r="AL8" s="42" t="s">
        <v>68</v>
      </c>
      <c r="AM8" s="42" t="s">
        <v>70</v>
      </c>
      <c r="AN8" s="42" t="s">
        <v>71</v>
      </c>
      <c r="AO8" s="42" t="s">
        <v>72</v>
      </c>
      <c r="AP8" s="42" t="s">
        <v>73</v>
      </c>
      <c r="AQ8" s="42" t="s">
        <v>74</v>
      </c>
    </row>
    <row r="9" spans="2:43" x14ac:dyDescent="0.25">
      <c r="B9" s="61">
        <f>IF(H9="","",RANK(H9,Table5[Total],0))</f>
        <v>1</v>
      </c>
      <c r="C9" s="66" t="s">
        <v>124</v>
      </c>
      <c r="D9" s="67"/>
      <c r="E9" s="68">
        <v>2.8611111111111115E-2</v>
      </c>
      <c r="F9" s="69">
        <f t="shared" ref="F9:F31" si="0">IF(E9&gt;$D$5,$D$6*CEILING((E9-$D$5), ($F$6/86400))/($F$6/86400),)</f>
        <v>0</v>
      </c>
      <c r="G9" s="32">
        <v>88</v>
      </c>
      <c r="H9" s="69">
        <f t="shared" ref="H9:H31" si="1">IF(G9&lt;&gt;"",G9-F9,"")</f>
        <v>88</v>
      </c>
      <c r="I9" s="72">
        <v>9</v>
      </c>
      <c r="J9" s="55">
        <v>19</v>
      </c>
      <c r="K9" s="50">
        <v>3</v>
      </c>
      <c r="L9" s="57">
        <v>22</v>
      </c>
      <c r="M9" s="50">
        <v>2</v>
      </c>
      <c r="N9" s="51">
        <v>28</v>
      </c>
      <c r="O9" s="50">
        <v>4</v>
      </c>
      <c r="P9" s="55">
        <v>21</v>
      </c>
      <c r="Q9" s="50">
        <v>1</v>
      </c>
      <c r="R9" s="76">
        <v>16</v>
      </c>
      <c r="S9" s="72">
        <v>8</v>
      </c>
      <c r="T9" s="75">
        <v>20</v>
      </c>
      <c r="U9" s="72">
        <v>6</v>
      </c>
      <c r="V9" s="74">
        <v>27</v>
      </c>
      <c r="W9" s="72">
        <v>5</v>
      </c>
      <c r="X9" s="73">
        <v>25</v>
      </c>
      <c r="Y9" s="72">
        <v>10</v>
      </c>
      <c r="Z9" s="78">
        <v>23</v>
      </c>
      <c r="AA9" s="72">
        <v>7</v>
      </c>
      <c r="AB9" s="73">
        <v>26</v>
      </c>
      <c r="AC9" s="79">
        <v>14</v>
      </c>
      <c r="AD9" s="76">
        <v>17</v>
      </c>
      <c r="AE9" s="75">
        <v>19</v>
      </c>
      <c r="AF9" s="78">
        <v>22</v>
      </c>
      <c r="AG9" s="73">
        <v>26</v>
      </c>
      <c r="AH9" s="74">
        <v>28</v>
      </c>
      <c r="AI9" s="70"/>
      <c r="AJ9" s="70"/>
      <c r="AK9" s="71"/>
      <c r="AL9" s="71"/>
      <c r="AM9" s="71"/>
      <c r="AN9" s="71"/>
      <c r="AO9" s="71"/>
      <c r="AP9" s="67"/>
      <c r="AQ9" s="67"/>
    </row>
    <row r="10" spans="2:43" x14ac:dyDescent="0.25">
      <c r="B10" s="61">
        <f>IF(H10="","",RANK(H10,Table5[Total],0))</f>
        <v>2</v>
      </c>
      <c r="C10" s="66" t="s">
        <v>122</v>
      </c>
      <c r="D10" s="67"/>
      <c r="E10" s="68">
        <v>2.7743055555555559E-2</v>
      </c>
      <c r="F10" s="69">
        <f t="shared" si="0"/>
        <v>0</v>
      </c>
      <c r="G10" s="32">
        <v>84</v>
      </c>
      <c r="H10" s="69">
        <f t="shared" si="1"/>
        <v>84</v>
      </c>
      <c r="I10" s="72">
        <v>2</v>
      </c>
      <c r="J10" s="55">
        <v>19</v>
      </c>
      <c r="K10" s="50">
        <v>4</v>
      </c>
      <c r="L10" s="52">
        <v>26</v>
      </c>
      <c r="M10" s="50">
        <v>9</v>
      </c>
      <c r="N10" s="54">
        <v>17</v>
      </c>
      <c r="O10" s="50">
        <v>3</v>
      </c>
      <c r="P10" s="57">
        <v>22</v>
      </c>
      <c r="Q10" s="50">
        <v>1</v>
      </c>
      <c r="R10" s="76">
        <v>16</v>
      </c>
      <c r="S10" s="72">
        <v>8</v>
      </c>
      <c r="T10" s="74">
        <v>27</v>
      </c>
      <c r="U10" s="72">
        <v>6</v>
      </c>
      <c r="V10" s="78">
        <v>24</v>
      </c>
      <c r="W10" s="72">
        <v>5</v>
      </c>
      <c r="X10" s="73">
        <v>25</v>
      </c>
      <c r="Y10" s="72">
        <v>10</v>
      </c>
      <c r="Z10" s="78">
        <v>23</v>
      </c>
      <c r="AA10" s="72">
        <v>7</v>
      </c>
      <c r="AB10" s="76">
        <v>18</v>
      </c>
      <c r="AC10" s="79">
        <v>14</v>
      </c>
      <c r="AD10" s="76">
        <v>15</v>
      </c>
      <c r="AE10" s="75">
        <v>21</v>
      </c>
      <c r="AF10" s="78">
        <v>22</v>
      </c>
      <c r="AG10" s="73">
        <v>26</v>
      </c>
      <c r="AH10" s="74">
        <v>28</v>
      </c>
      <c r="AI10" s="70"/>
      <c r="AJ10" s="70"/>
      <c r="AK10" s="71"/>
      <c r="AL10" s="71"/>
      <c r="AM10" s="71"/>
      <c r="AN10" s="71"/>
      <c r="AO10" s="71"/>
      <c r="AP10" s="67"/>
      <c r="AQ10" s="67"/>
    </row>
    <row r="11" spans="2:43" x14ac:dyDescent="0.25">
      <c r="B11" s="61">
        <f>IF(H11="","",RANK(H11,Table5[Total],0))</f>
        <v>3</v>
      </c>
      <c r="C11" s="66" t="s">
        <v>113</v>
      </c>
      <c r="D11" s="32"/>
      <c r="E11" s="48">
        <v>2.8564814814814817E-2</v>
      </c>
      <c r="F11" s="49">
        <f t="shared" si="0"/>
        <v>0</v>
      </c>
      <c r="G11" s="32">
        <v>76</v>
      </c>
      <c r="H11" s="49">
        <f t="shared" si="1"/>
        <v>76</v>
      </c>
      <c r="I11" s="50">
        <v>2</v>
      </c>
      <c r="J11" s="53">
        <v>14</v>
      </c>
      <c r="K11" s="50">
        <v>4</v>
      </c>
      <c r="L11" s="54">
        <v>18</v>
      </c>
      <c r="M11" s="50">
        <v>7</v>
      </c>
      <c r="N11" s="53">
        <v>11</v>
      </c>
      <c r="O11" s="50">
        <v>10</v>
      </c>
      <c r="P11" s="54">
        <v>15</v>
      </c>
      <c r="Q11" s="50">
        <v>5</v>
      </c>
      <c r="R11" s="52">
        <v>25</v>
      </c>
      <c r="S11" s="50">
        <v>6</v>
      </c>
      <c r="T11" s="57">
        <v>24</v>
      </c>
      <c r="U11" s="50">
        <v>8</v>
      </c>
      <c r="V11" s="54">
        <v>16</v>
      </c>
      <c r="W11" s="50">
        <v>1</v>
      </c>
      <c r="X11" s="57">
        <v>22</v>
      </c>
      <c r="Y11" s="50">
        <v>3</v>
      </c>
      <c r="Z11" s="52">
        <v>26</v>
      </c>
      <c r="AA11" s="50">
        <v>9</v>
      </c>
      <c r="AB11" s="55">
        <v>19</v>
      </c>
      <c r="AC11" s="59">
        <v>2</v>
      </c>
      <c r="AD11" s="53">
        <v>14</v>
      </c>
      <c r="AE11" s="54">
        <v>15</v>
      </c>
      <c r="AF11" s="55">
        <v>21</v>
      </c>
      <c r="AG11" s="57">
        <v>22</v>
      </c>
      <c r="AH11" s="52">
        <v>26</v>
      </c>
      <c r="AI11" s="51">
        <v>28</v>
      </c>
      <c r="AJ11" s="63"/>
      <c r="AK11" s="58"/>
      <c r="AL11" s="58"/>
      <c r="AM11" s="58"/>
      <c r="AN11" s="58"/>
      <c r="AO11" s="58"/>
      <c r="AP11" s="32"/>
      <c r="AQ11" s="32"/>
    </row>
    <row r="12" spans="2:43" x14ac:dyDescent="0.25">
      <c r="B12" s="61">
        <f>IF(H12="","",RANK(H12,Table5[Total],0))</f>
        <v>4</v>
      </c>
      <c r="C12" s="66" t="s">
        <v>107</v>
      </c>
      <c r="D12" s="32"/>
      <c r="E12" s="48">
        <v>3.0277777777777778E-2</v>
      </c>
      <c r="F12" s="49">
        <f t="shared" si="0"/>
        <v>0</v>
      </c>
      <c r="G12" s="32">
        <v>69</v>
      </c>
      <c r="H12" s="49">
        <f t="shared" si="1"/>
        <v>69</v>
      </c>
      <c r="I12" s="50">
        <v>2</v>
      </c>
      <c r="J12" s="52">
        <v>26</v>
      </c>
      <c r="K12" s="50">
        <v>9</v>
      </c>
      <c r="L12" s="57">
        <v>22</v>
      </c>
      <c r="M12" s="50">
        <v>3</v>
      </c>
      <c r="N12" s="51">
        <v>28</v>
      </c>
      <c r="O12" s="50">
        <v>4</v>
      </c>
      <c r="P12" s="53">
        <v>14</v>
      </c>
      <c r="Q12" s="50">
        <v>10</v>
      </c>
      <c r="R12" s="54">
        <v>18</v>
      </c>
      <c r="S12" s="50">
        <v>7</v>
      </c>
      <c r="T12" s="57">
        <v>23</v>
      </c>
      <c r="U12" s="50">
        <v>5</v>
      </c>
      <c r="V12" s="52">
        <v>25</v>
      </c>
      <c r="W12" s="50">
        <v>6</v>
      </c>
      <c r="X12" s="57">
        <v>24</v>
      </c>
      <c r="Y12" s="50">
        <v>8</v>
      </c>
      <c r="Z12" s="51">
        <v>27</v>
      </c>
      <c r="AA12" s="50">
        <v>1</v>
      </c>
      <c r="AB12" s="55">
        <v>21</v>
      </c>
      <c r="AC12" s="53">
        <v>14</v>
      </c>
      <c r="AD12" s="54">
        <v>18</v>
      </c>
      <c r="AE12" s="55">
        <v>19</v>
      </c>
      <c r="AF12" s="63"/>
      <c r="AG12" s="63"/>
      <c r="AH12" s="63"/>
      <c r="AI12" s="63"/>
      <c r="AJ12" s="63"/>
      <c r="AK12" s="58"/>
      <c r="AL12" s="58"/>
      <c r="AM12" s="58"/>
      <c r="AN12" s="58"/>
      <c r="AO12" s="58"/>
      <c r="AP12" s="32"/>
      <c r="AQ12" s="32"/>
    </row>
    <row r="13" spans="2:43" x14ac:dyDescent="0.25">
      <c r="B13" s="47">
        <f>IF(H13="","",RANK(H13,Table5[Total],0))</f>
        <v>5</v>
      </c>
      <c r="C13" s="66" t="s">
        <v>103</v>
      </c>
      <c r="D13" s="32"/>
      <c r="E13" s="48">
        <v>3.148032407407407E-2</v>
      </c>
      <c r="F13" s="49">
        <f t="shared" si="0"/>
        <v>2</v>
      </c>
      <c r="G13" s="32">
        <v>68</v>
      </c>
      <c r="H13" s="49">
        <f t="shared" si="1"/>
        <v>66</v>
      </c>
      <c r="I13" s="50">
        <v>7</v>
      </c>
      <c r="J13" s="57">
        <v>23</v>
      </c>
      <c r="K13" s="50">
        <v>10</v>
      </c>
      <c r="L13" s="52">
        <v>25</v>
      </c>
      <c r="M13" s="50">
        <v>5</v>
      </c>
      <c r="N13" s="57">
        <v>24</v>
      </c>
      <c r="O13" s="50">
        <v>8</v>
      </c>
      <c r="P13" s="51">
        <v>27</v>
      </c>
      <c r="Q13" s="50">
        <v>6</v>
      </c>
      <c r="R13" s="55">
        <v>20</v>
      </c>
      <c r="S13" s="50">
        <v>1</v>
      </c>
      <c r="T13" s="57">
        <v>22</v>
      </c>
      <c r="U13" s="50">
        <v>3</v>
      </c>
      <c r="V13" s="52">
        <v>26</v>
      </c>
      <c r="W13" s="50">
        <v>9</v>
      </c>
      <c r="X13" s="55">
        <v>19</v>
      </c>
      <c r="Y13" s="50">
        <v>2</v>
      </c>
      <c r="Z13" s="51">
        <v>28</v>
      </c>
      <c r="AA13" s="50">
        <v>4</v>
      </c>
      <c r="AB13" s="55">
        <v>21</v>
      </c>
      <c r="AC13" s="53">
        <v>14</v>
      </c>
      <c r="AD13" s="54">
        <v>18</v>
      </c>
      <c r="AE13" s="63"/>
      <c r="AF13" s="63"/>
      <c r="AG13" s="63"/>
      <c r="AH13" s="63"/>
      <c r="AI13" s="63"/>
      <c r="AJ13" s="63"/>
      <c r="AK13" s="58"/>
      <c r="AL13" s="58"/>
      <c r="AM13" s="58"/>
      <c r="AN13" s="58"/>
      <c r="AO13" s="58"/>
      <c r="AP13" s="32"/>
      <c r="AQ13" s="32"/>
    </row>
    <row r="14" spans="2:43" x14ac:dyDescent="0.25">
      <c r="B14" s="47">
        <f>IF(H14="","",RANK(H14,Table5[Total],0))</f>
        <v>6</v>
      </c>
      <c r="C14" s="66" t="s">
        <v>104</v>
      </c>
      <c r="D14" s="32"/>
      <c r="E14" s="48">
        <v>2.7557870370370368E-2</v>
      </c>
      <c r="F14" s="49">
        <f t="shared" si="0"/>
        <v>0</v>
      </c>
      <c r="G14" s="32">
        <v>59</v>
      </c>
      <c r="H14" s="49">
        <f t="shared" si="1"/>
        <v>59</v>
      </c>
      <c r="I14" s="50">
        <v>7</v>
      </c>
      <c r="J14" s="57">
        <v>23</v>
      </c>
      <c r="K14" s="50">
        <v>10</v>
      </c>
      <c r="L14" s="53">
        <v>11</v>
      </c>
      <c r="M14" s="50">
        <v>5</v>
      </c>
      <c r="N14" s="52">
        <v>25</v>
      </c>
      <c r="O14" s="50">
        <v>6</v>
      </c>
      <c r="P14" s="57">
        <v>24</v>
      </c>
      <c r="Q14" s="50">
        <v>8</v>
      </c>
      <c r="R14" s="51">
        <v>27</v>
      </c>
      <c r="S14" s="50">
        <v>1</v>
      </c>
      <c r="T14" s="54">
        <v>16</v>
      </c>
      <c r="U14" s="50">
        <v>3</v>
      </c>
      <c r="V14" s="57">
        <v>22</v>
      </c>
      <c r="W14" s="50">
        <v>2</v>
      </c>
      <c r="X14" s="52">
        <v>26</v>
      </c>
      <c r="Y14" s="50">
        <v>9</v>
      </c>
      <c r="Z14" s="54">
        <v>17</v>
      </c>
      <c r="AA14" s="50">
        <v>4</v>
      </c>
      <c r="AB14" s="51">
        <v>28</v>
      </c>
      <c r="AC14" s="63"/>
      <c r="AD14" s="63"/>
      <c r="AE14" s="63"/>
      <c r="AF14" s="63"/>
      <c r="AG14" s="63"/>
      <c r="AH14" s="63"/>
      <c r="AI14" s="63"/>
      <c r="AJ14" s="63"/>
      <c r="AK14" s="58"/>
      <c r="AL14" s="58"/>
      <c r="AM14" s="58"/>
      <c r="AN14" s="58"/>
      <c r="AO14" s="58"/>
      <c r="AP14" s="32"/>
      <c r="AQ14" s="32"/>
    </row>
    <row r="15" spans="2:43" x14ac:dyDescent="0.25">
      <c r="B15" s="61">
        <f>IF(H15="","",RANK(H15,Table5[Total],0))</f>
        <v>7</v>
      </c>
      <c r="C15" s="66" t="s">
        <v>125</v>
      </c>
      <c r="D15" s="67"/>
      <c r="E15" s="68">
        <v>3.0300925925925926E-2</v>
      </c>
      <c r="F15" s="69">
        <f t="shared" si="0"/>
        <v>0</v>
      </c>
      <c r="G15" s="32">
        <v>58</v>
      </c>
      <c r="H15" s="69">
        <f t="shared" si="1"/>
        <v>58</v>
      </c>
      <c r="I15" s="72">
        <v>4</v>
      </c>
      <c r="J15" s="53">
        <v>14</v>
      </c>
      <c r="K15" s="50">
        <v>7</v>
      </c>
      <c r="L15" s="57">
        <v>23</v>
      </c>
      <c r="M15" s="50">
        <v>10</v>
      </c>
      <c r="N15" s="54">
        <v>15</v>
      </c>
      <c r="O15" s="50">
        <v>5</v>
      </c>
      <c r="P15" s="52">
        <v>25</v>
      </c>
      <c r="Q15" s="50">
        <v>6</v>
      </c>
      <c r="R15" s="75">
        <v>20</v>
      </c>
      <c r="S15" s="72">
        <v>8</v>
      </c>
      <c r="T15" s="76">
        <v>16</v>
      </c>
      <c r="U15" s="72">
        <v>1</v>
      </c>
      <c r="V15" s="75">
        <v>21</v>
      </c>
      <c r="W15" s="72">
        <v>2</v>
      </c>
      <c r="X15" s="78">
        <v>22</v>
      </c>
      <c r="Y15" s="72">
        <v>3</v>
      </c>
      <c r="Z15" s="75">
        <v>19</v>
      </c>
      <c r="AA15" s="72">
        <v>9</v>
      </c>
      <c r="AB15" s="74">
        <v>28</v>
      </c>
      <c r="AC15" s="79">
        <v>14</v>
      </c>
      <c r="AD15" s="76">
        <v>18</v>
      </c>
      <c r="AE15" s="70"/>
      <c r="AF15" s="70"/>
      <c r="AG15" s="70"/>
      <c r="AH15" s="70"/>
      <c r="AI15" s="70"/>
      <c r="AJ15" s="70"/>
      <c r="AK15" s="71"/>
      <c r="AL15" s="71"/>
      <c r="AM15" s="71"/>
      <c r="AN15" s="71"/>
      <c r="AO15" s="71"/>
      <c r="AP15" s="67"/>
      <c r="AQ15" s="67"/>
    </row>
    <row r="16" spans="2:43" x14ac:dyDescent="0.25">
      <c r="B16" s="61">
        <f>IF(H16="","",RANK(H16,Table5[Total],0))</f>
        <v>8</v>
      </c>
      <c r="C16" s="66" t="s">
        <v>105</v>
      </c>
      <c r="D16" s="32"/>
      <c r="E16" s="48">
        <v>3.1331018518518515E-2</v>
      </c>
      <c r="F16" s="49">
        <f t="shared" si="0"/>
        <v>1</v>
      </c>
      <c r="G16" s="32">
        <v>54</v>
      </c>
      <c r="H16" s="49">
        <f t="shared" si="1"/>
        <v>53</v>
      </c>
      <c r="I16" s="50">
        <v>2</v>
      </c>
      <c r="J16" s="55">
        <v>21</v>
      </c>
      <c r="K16" s="50">
        <v>4</v>
      </c>
      <c r="L16" s="54">
        <v>18</v>
      </c>
      <c r="M16" s="50">
        <v>7</v>
      </c>
      <c r="N16" s="57">
        <v>23</v>
      </c>
      <c r="O16" s="50">
        <v>10</v>
      </c>
      <c r="P16" s="52">
        <v>25</v>
      </c>
      <c r="Q16" s="50">
        <v>5</v>
      </c>
      <c r="R16" s="54">
        <v>15</v>
      </c>
      <c r="S16" s="50">
        <v>6</v>
      </c>
      <c r="T16" s="57">
        <v>24</v>
      </c>
      <c r="U16" s="50">
        <v>8</v>
      </c>
      <c r="V16" s="51">
        <v>27</v>
      </c>
      <c r="W16" s="50">
        <v>1</v>
      </c>
      <c r="X16" s="57">
        <v>22</v>
      </c>
      <c r="Y16" s="50">
        <v>3</v>
      </c>
      <c r="Z16" s="51">
        <v>28</v>
      </c>
      <c r="AA16" s="63"/>
      <c r="AB16" s="63"/>
      <c r="AC16" s="63"/>
      <c r="AD16" s="63"/>
      <c r="AE16" s="63"/>
      <c r="AF16" s="63"/>
      <c r="AG16" s="63"/>
      <c r="AH16" s="63"/>
      <c r="AI16" s="63"/>
      <c r="AJ16" s="63"/>
      <c r="AK16" s="58"/>
      <c r="AL16" s="58"/>
      <c r="AM16" s="58"/>
      <c r="AN16" s="58"/>
      <c r="AO16" s="58"/>
      <c r="AP16" s="32"/>
      <c r="AQ16" s="32"/>
    </row>
    <row r="17" spans="2:43" x14ac:dyDescent="0.25">
      <c r="B17" s="61">
        <f>IF(H17="","",RANK(H17,Table5[Total],0))</f>
        <v>9</v>
      </c>
      <c r="C17" s="66" t="s">
        <v>116</v>
      </c>
      <c r="D17" s="67"/>
      <c r="E17" s="68">
        <v>3.0138888888888885E-2</v>
      </c>
      <c r="F17" s="69">
        <f t="shared" si="0"/>
        <v>0</v>
      </c>
      <c r="G17" s="32">
        <v>52</v>
      </c>
      <c r="H17" s="69">
        <f t="shared" si="1"/>
        <v>52</v>
      </c>
      <c r="I17" s="72">
        <v>7</v>
      </c>
      <c r="J17" s="57">
        <v>23</v>
      </c>
      <c r="K17" s="50">
        <v>10</v>
      </c>
      <c r="L17" s="53">
        <v>11</v>
      </c>
      <c r="M17" s="50">
        <v>5</v>
      </c>
      <c r="N17" s="52">
        <v>25</v>
      </c>
      <c r="O17" s="50">
        <v>6</v>
      </c>
      <c r="P17" s="51">
        <v>27</v>
      </c>
      <c r="Q17" s="50">
        <v>8</v>
      </c>
      <c r="R17" s="75">
        <v>20</v>
      </c>
      <c r="S17" s="72">
        <v>1</v>
      </c>
      <c r="T17" s="75">
        <v>21</v>
      </c>
      <c r="U17" s="72">
        <v>4</v>
      </c>
      <c r="V17" s="76">
        <v>18</v>
      </c>
      <c r="W17" s="72">
        <v>2</v>
      </c>
      <c r="X17" s="77">
        <v>3</v>
      </c>
      <c r="Y17" s="78">
        <v>22</v>
      </c>
      <c r="Z17" s="72">
        <v>9</v>
      </c>
      <c r="AA17" s="74">
        <v>28</v>
      </c>
      <c r="AB17" s="70"/>
      <c r="AC17" s="70"/>
      <c r="AD17" s="70"/>
      <c r="AE17" s="70"/>
      <c r="AF17" s="70"/>
      <c r="AG17" s="70"/>
      <c r="AH17" s="70"/>
      <c r="AI17" s="70"/>
      <c r="AJ17" s="70"/>
      <c r="AK17" s="71"/>
      <c r="AL17" s="71"/>
      <c r="AM17" s="71"/>
      <c r="AN17" s="71"/>
      <c r="AO17" s="71"/>
      <c r="AP17" s="67"/>
      <c r="AQ17" s="67"/>
    </row>
    <row r="18" spans="2:43" x14ac:dyDescent="0.25">
      <c r="B18" s="61">
        <f>IF(H18="","",RANK(H18,Table5[Total],0))</f>
        <v>10</v>
      </c>
      <c r="C18" s="66" t="s">
        <v>121</v>
      </c>
      <c r="D18" s="67"/>
      <c r="E18" s="68">
        <v>3.0104166666666668E-2</v>
      </c>
      <c r="F18" s="69">
        <f t="shared" si="0"/>
        <v>0</v>
      </c>
      <c r="G18" s="32">
        <v>51</v>
      </c>
      <c r="H18" s="69">
        <f t="shared" si="1"/>
        <v>51</v>
      </c>
      <c r="I18" s="72">
        <v>7</v>
      </c>
      <c r="J18" s="54">
        <v>18</v>
      </c>
      <c r="K18" s="50">
        <v>10</v>
      </c>
      <c r="L18" s="57">
        <v>23</v>
      </c>
      <c r="M18" s="50">
        <v>5</v>
      </c>
      <c r="N18" s="52">
        <v>25</v>
      </c>
      <c r="O18" s="50">
        <v>6</v>
      </c>
      <c r="P18" s="55">
        <v>20</v>
      </c>
      <c r="Q18" s="50">
        <v>8</v>
      </c>
      <c r="R18" s="76">
        <v>16</v>
      </c>
      <c r="S18" s="72">
        <v>1</v>
      </c>
      <c r="T18" s="75">
        <v>21</v>
      </c>
      <c r="U18" s="72">
        <v>4</v>
      </c>
      <c r="V18" s="79">
        <v>14</v>
      </c>
      <c r="W18" s="72">
        <v>2</v>
      </c>
      <c r="X18" s="78">
        <v>22</v>
      </c>
      <c r="Y18" s="72">
        <v>3</v>
      </c>
      <c r="Z18" s="77">
        <v>9</v>
      </c>
      <c r="AA18" s="73">
        <v>26</v>
      </c>
      <c r="AB18" s="72">
        <v>9</v>
      </c>
      <c r="AC18" s="76">
        <v>17</v>
      </c>
      <c r="AD18" s="83">
        <v>28</v>
      </c>
      <c r="AE18" s="70"/>
      <c r="AF18" s="70"/>
      <c r="AG18" s="70"/>
      <c r="AH18" s="70"/>
      <c r="AI18" s="70"/>
      <c r="AJ18" s="70"/>
      <c r="AK18" s="71"/>
      <c r="AL18" s="71"/>
      <c r="AM18" s="71"/>
      <c r="AN18" s="71"/>
      <c r="AO18" s="71"/>
      <c r="AP18" s="67"/>
      <c r="AQ18" s="67"/>
    </row>
    <row r="19" spans="2:43" x14ac:dyDescent="0.25">
      <c r="B19" s="61">
        <f>IF(H19="","",RANK(H19,Table5[Total],0))</f>
        <v>11</v>
      </c>
      <c r="C19" s="66" t="s">
        <v>114</v>
      </c>
      <c r="D19" s="32"/>
      <c r="E19" s="48">
        <v>2.883101851851852E-2</v>
      </c>
      <c r="F19" s="49">
        <f t="shared" si="0"/>
        <v>0</v>
      </c>
      <c r="G19" s="32">
        <v>50</v>
      </c>
      <c r="H19" s="49">
        <f t="shared" si="1"/>
        <v>50</v>
      </c>
      <c r="I19" s="50">
        <v>7</v>
      </c>
      <c r="J19" s="57">
        <v>23</v>
      </c>
      <c r="K19" s="50">
        <v>10</v>
      </c>
      <c r="L19" s="54">
        <v>15</v>
      </c>
      <c r="M19" s="50">
        <v>5</v>
      </c>
      <c r="N19" s="52">
        <v>25</v>
      </c>
      <c r="O19" s="50">
        <v>6</v>
      </c>
      <c r="P19" s="57">
        <v>24</v>
      </c>
      <c r="Q19" s="50">
        <v>8</v>
      </c>
      <c r="R19" s="55">
        <v>20</v>
      </c>
      <c r="S19" s="50">
        <v>1</v>
      </c>
      <c r="T19" s="57">
        <v>22</v>
      </c>
      <c r="U19" s="50">
        <v>9</v>
      </c>
      <c r="V19" s="52">
        <v>26</v>
      </c>
      <c r="W19" s="50">
        <v>2</v>
      </c>
      <c r="X19" s="55">
        <v>21</v>
      </c>
      <c r="Y19" s="50">
        <v>4</v>
      </c>
      <c r="Z19" s="54">
        <v>18</v>
      </c>
      <c r="AA19" s="60">
        <v>14</v>
      </c>
      <c r="AB19" s="65">
        <v>18</v>
      </c>
      <c r="AC19" s="64">
        <v>21</v>
      </c>
      <c r="AD19" s="56">
        <v>23</v>
      </c>
      <c r="AE19" s="63"/>
      <c r="AF19" s="63"/>
      <c r="AG19" s="63"/>
      <c r="AH19" s="63"/>
      <c r="AI19" s="63"/>
      <c r="AJ19" s="63"/>
      <c r="AK19" s="58"/>
      <c r="AL19" s="58"/>
      <c r="AM19" s="58"/>
      <c r="AN19" s="58"/>
      <c r="AO19" s="58"/>
      <c r="AP19" s="32"/>
      <c r="AQ19" s="32"/>
    </row>
    <row r="20" spans="2:43" x14ac:dyDescent="0.25">
      <c r="B20" s="61">
        <f>IF(H20="","",RANK(H20,Table5[Total],0))</f>
        <v>12</v>
      </c>
      <c r="C20" s="66" t="s">
        <v>109</v>
      </c>
      <c r="D20" s="32"/>
      <c r="E20" s="48">
        <v>2.8738425925925928E-2</v>
      </c>
      <c r="F20" s="49">
        <f t="shared" si="0"/>
        <v>0</v>
      </c>
      <c r="G20" s="32">
        <v>48</v>
      </c>
      <c r="H20" s="49">
        <f t="shared" si="1"/>
        <v>48</v>
      </c>
      <c r="I20" s="50">
        <v>7</v>
      </c>
      <c r="J20" s="57">
        <v>23</v>
      </c>
      <c r="K20" s="50">
        <v>10</v>
      </c>
      <c r="L20" s="53">
        <v>11</v>
      </c>
      <c r="M20" s="50">
        <v>5</v>
      </c>
      <c r="N20" s="52">
        <v>25</v>
      </c>
      <c r="O20" s="50">
        <v>6</v>
      </c>
      <c r="P20" s="57">
        <v>24</v>
      </c>
      <c r="Q20" s="50">
        <v>1</v>
      </c>
      <c r="R20" s="57">
        <v>22</v>
      </c>
      <c r="S20" s="50">
        <v>9</v>
      </c>
      <c r="T20" s="52">
        <v>26</v>
      </c>
      <c r="U20" s="50">
        <v>2</v>
      </c>
      <c r="V20" s="55">
        <v>21</v>
      </c>
      <c r="W20" s="50">
        <v>4</v>
      </c>
      <c r="X20" s="51">
        <v>28</v>
      </c>
      <c r="Y20" s="63"/>
      <c r="Z20" s="63"/>
      <c r="AA20" s="63"/>
      <c r="AB20" s="63"/>
      <c r="AC20" s="63"/>
      <c r="AD20" s="63"/>
      <c r="AE20" s="63"/>
      <c r="AF20" s="63"/>
      <c r="AG20" s="63"/>
      <c r="AH20" s="63"/>
      <c r="AI20" s="63"/>
      <c r="AJ20" s="63"/>
      <c r="AK20" s="58"/>
      <c r="AL20" s="58"/>
      <c r="AM20" s="58"/>
      <c r="AN20" s="58"/>
      <c r="AO20" s="58"/>
      <c r="AP20" s="32"/>
      <c r="AQ20" s="32"/>
    </row>
    <row r="21" spans="2:43" x14ac:dyDescent="0.25">
      <c r="B21" s="61">
        <f>IF(H21="","",RANK(H21,Table5[Total],0))</f>
        <v>12</v>
      </c>
      <c r="C21" s="66" t="s">
        <v>111</v>
      </c>
      <c r="D21" s="32"/>
      <c r="E21" s="48">
        <v>2.97337962962963E-2</v>
      </c>
      <c r="F21" s="49">
        <f t="shared" si="0"/>
        <v>0</v>
      </c>
      <c r="G21" s="32">
        <v>48</v>
      </c>
      <c r="H21" s="49">
        <f t="shared" si="1"/>
        <v>48</v>
      </c>
      <c r="I21" s="50">
        <v>7</v>
      </c>
      <c r="J21" s="54">
        <v>18</v>
      </c>
      <c r="K21" s="50">
        <v>2</v>
      </c>
      <c r="L21" s="53">
        <v>14</v>
      </c>
      <c r="M21" s="50">
        <v>4</v>
      </c>
      <c r="N21" s="55">
        <v>21</v>
      </c>
      <c r="O21" s="50">
        <v>10</v>
      </c>
      <c r="P21" s="53">
        <v>11</v>
      </c>
      <c r="Q21" s="50">
        <v>5</v>
      </c>
      <c r="R21" s="52">
        <v>25</v>
      </c>
      <c r="S21" s="50">
        <v>6</v>
      </c>
      <c r="T21" s="55">
        <v>20</v>
      </c>
      <c r="U21" s="50">
        <v>8</v>
      </c>
      <c r="V21" s="54">
        <v>16</v>
      </c>
      <c r="W21" s="50">
        <v>1</v>
      </c>
      <c r="X21" s="53">
        <v>13</v>
      </c>
      <c r="Y21" s="50">
        <v>3</v>
      </c>
      <c r="Z21" s="57">
        <v>22</v>
      </c>
      <c r="AA21" s="50">
        <v>9</v>
      </c>
      <c r="AB21" s="51">
        <v>28</v>
      </c>
      <c r="AC21" s="63"/>
      <c r="AD21" s="63"/>
      <c r="AE21" s="63"/>
      <c r="AF21" s="63"/>
      <c r="AG21" s="63"/>
      <c r="AH21" s="63"/>
      <c r="AI21" s="63"/>
      <c r="AJ21" s="63"/>
      <c r="AK21" s="58"/>
      <c r="AL21" s="58"/>
      <c r="AM21" s="58"/>
      <c r="AN21" s="58"/>
      <c r="AO21" s="58"/>
      <c r="AP21" s="32"/>
      <c r="AQ21" s="32"/>
    </row>
    <row r="22" spans="2:43" x14ac:dyDescent="0.25">
      <c r="B22" s="61">
        <f>IF(H22="","",RANK(H22,Table5[Total],0))</f>
        <v>14</v>
      </c>
      <c r="C22" s="66" t="s">
        <v>120</v>
      </c>
      <c r="D22" s="67"/>
      <c r="E22" s="68">
        <v>2.9814814814814811E-2</v>
      </c>
      <c r="F22" s="69">
        <f t="shared" si="0"/>
        <v>0</v>
      </c>
      <c r="G22" s="32">
        <v>47</v>
      </c>
      <c r="H22" s="69">
        <f t="shared" si="1"/>
        <v>47</v>
      </c>
      <c r="I22" s="72">
        <v>7</v>
      </c>
      <c r="J22" s="54">
        <v>18</v>
      </c>
      <c r="K22" s="50">
        <v>10</v>
      </c>
      <c r="L22" s="53">
        <v>11</v>
      </c>
      <c r="M22" s="50">
        <v>5</v>
      </c>
      <c r="N22" s="54">
        <v>15</v>
      </c>
      <c r="O22" s="50">
        <v>6</v>
      </c>
      <c r="P22" s="55">
        <v>20</v>
      </c>
      <c r="Q22" s="50">
        <v>8</v>
      </c>
      <c r="R22" s="74">
        <v>27</v>
      </c>
      <c r="S22" s="72">
        <v>1</v>
      </c>
      <c r="T22" s="76">
        <v>16</v>
      </c>
      <c r="U22" s="72">
        <v>3</v>
      </c>
      <c r="V22" s="78">
        <v>22</v>
      </c>
      <c r="W22" s="72">
        <v>2</v>
      </c>
      <c r="X22" s="75">
        <v>21</v>
      </c>
      <c r="Y22" s="72">
        <v>4</v>
      </c>
      <c r="Z22" s="74">
        <v>28</v>
      </c>
      <c r="AA22" s="70"/>
      <c r="AB22" s="70"/>
      <c r="AC22" s="70"/>
      <c r="AD22" s="70"/>
      <c r="AE22" s="70"/>
      <c r="AF22" s="70"/>
      <c r="AG22" s="70"/>
      <c r="AH22" s="70"/>
      <c r="AI22" s="70"/>
      <c r="AJ22" s="70"/>
      <c r="AK22" s="71"/>
      <c r="AL22" s="71"/>
      <c r="AM22" s="71"/>
      <c r="AN22" s="71"/>
      <c r="AO22" s="71"/>
      <c r="AP22" s="67"/>
      <c r="AQ22" s="67"/>
    </row>
    <row r="23" spans="2:43" x14ac:dyDescent="0.25">
      <c r="B23" s="61">
        <f>IF(H23="","",RANK(H23,Table5[Total],0))</f>
        <v>15</v>
      </c>
      <c r="C23" s="66" t="s">
        <v>106</v>
      </c>
      <c r="D23" s="32"/>
      <c r="E23" s="48">
        <v>3.1111111111111107E-2</v>
      </c>
      <c r="F23" s="49">
        <f t="shared" si="0"/>
        <v>0</v>
      </c>
      <c r="G23" s="32">
        <v>43</v>
      </c>
      <c r="H23" s="49">
        <f t="shared" si="1"/>
        <v>43</v>
      </c>
      <c r="I23" s="50">
        <v>7</v>
      </c>
      <c r="J23" s="57">
        <v>23</v>
      </c>
      <c r="K23" s="50">
        <v>10</v>
      </c>
      <c r="L23" s="53">
        <v>14</v>
      </c>
      <c r="M23" s="50">
        <v>4</v>
      </c>
      <c r="N23" s="57">
        <v>22</v>
      </c>
      <c r="O23" s="50">
        <v>3</v>
      </c>
      <c r="P23" s="54">
        <v>16</v>
      </c>
      <c r="Q23" s="50">
        <v>1</v>
      </c>
      <c r="R23" s="55">
        <v>21</v>
      </c>
      <c r="S23" s="50">
        <v>2</v>
      </c>
      <c r="T23" s="59">
        <v>6</v>
      </c>
      <c r="U23" s="52">
        <v>25</v>
      </c>
      <c r="V23" s="50">
        <v>5</v>
      </c>
      <c r="W23" s="54">
        <v>18</v>
      </c>
      <c r="X23" s="50">
        <v>9</v>
      </c>
      <c r="Y23" s="51">
        <v>28</v>
      </c>
      <c r="Z23" s="63"/>
      <c r="AA23" s="63"/>
      <c r="AB23" s="63"/>
      <c r="AC23" s="63"/>
      <c r="AD23" s="63"/>
      <c r="AE23" s="63"/>
      <c r="AF23" s="63"/>
      <c r="AG23" s="63"/>
      <c r="AH23" s="63"/>
      <c r="AI23" s="63"/>
      <c r="AJ23" s="63"/>
      <c r="AK23" s="58"/>
      <c r="AL23" s="58"/>
      <c r="AM23" s="58"/>
      <c r="AN23" s="58"/>
      <c r="AO23" s="58"/>
      <c r="AP23" s="32"/>
      <c r="AQ23" s="32"/>
    </row>
    <row r="24" spans="2:43" x14ac:dyDescent="0.25">
      <c r="B24" s="61">
        <f>IF(H24="","",RANK(H24,Table5[Total],0))</f>
        <v>16</v>
      </c>
      <c r="C24" s="66" t="s">
        <v>117</v>
      </c>
      <c r="D24" s="67"/>
      <c r="E24" s="68">
        <v>3.0428240740740742E-2</v>
      </c>
      <c r="F24" s="69">
        <f t="shared" si="0"/>
        <v>0</v>
      </c>
      <c r="G24" s="32">
        <v>42</v>
      </c>
      <c r="H24" s="69">
        <f t="shared" si="1"/>
        <v>42</v>
      </c>
      <c r="I24" s="72">
        <v>7</v>
      </c>
      <c r="J24" s="57">
        <v>23</v>
      </c>
      <c r="K24" s="50">
        <v>10</v>
      </c>
      <c r="L24" s="54">
        <v>15</v>
      </c>
      <c r="M24" s="50">
        <v>5</v>
      </c>
      <c r="N24" s="52">
        <v>25</v>
      </c>
      <c r="O24" s="50">
        <v>6</v>
      </c>
      <c r="P24" s="57">
        <v>24</v>
      </c>
      <c r="Q24" s="50">
        <v>8</v>
      </c>
      <c r="R24" s="74">
        <v>27</v>
      </c>
      <c r="S24" s="72">
        <v>1</v>
      </c>
      <c r="T24" s="79">
        <v>14</v>
      </c>
      <c r="U24" s="72">
        <v>4</v>
      </c>
      <c r="V24" s="74">
        <v>28</v>
      </c>
      <c r="W24" s="70"/>
      <c r="X24" s="70"/>
      <c r="Y24" s="70"/>
      <c r="Z24" s="70"/>
      <c r="AA24" s="70"/>
      <c r="AB24" s="70"/>
      <c r="AC24" s="70"/>
      <c r="AD24" s="70"/>
      <c r="AE24" s="70"/>
      <c r="AF24" s="70"/>
      <c r="AG24" s="70"/>
      <c r="AH24" s="70"/>
      <c r="AI24" s="70"/>
      <c r="AJ24" s="70"/>
      <c r="AK24" s="71"/>
      <c r="AL24" s="71"/>
      <c r="AM24" s="71"/>
      <c r="AN24" s="71"/>
      <c r="AO24" s="71"/>
      <c r="AP24" s="67"/>
      <c r="AQ24" s="67"/>
    </row>
    <row r="25" spans="2:43" x14ac:dyDescent="0.25">
      <c r="B25" s="61">
        <f>IF(H25="","",RANK(H25,Table5[Total],0))</f>
        <v>17</v>
      </c>
      <c r="C25" s="66" t="s">
        <v>110</v>
      </c>
      <c r="D25" s="32"/>
      <c r="E25" s="48">
        <v>3.1284722222222221E-2</v>
      </c>
      <c r="F25" s="49">
        <f t="shared" si="0"/>
        <v>1</v>
      </c>
      <c r="G25" s="32">
        <v>42</v>
      </c>
      <c r="H25" s="49">
        <f t="shared" si="1"/>
        <v>41</v>
      </c>
      <c r="I25" s="50">
        <v>10</v>
      </c>
      <c r="J25" s="55">
        <v>21</v>
      </c>
      <c r="K25" s="50">
        <v>6</v>
      </c>
      <c r="L25" s="57">
        <v>24</v>
      </c>
      <c r="M25" s="59">
        <v>6</v>
      </c>
      <c r="N25" s="62">
        <v>27</v>
      </c>
      <c r="O25" s="50">
        <v>8</v>
      </c>
      <c r="P25" s="54">
        <v>16</v>
      </c>
      <c r="Q25" s="50">
        <v>1</v>
      </c>
      <c r="R25" s="57">
        <v>22</v>
      </c>
      <c r="S25" s="50">
        <v>9</v>
      </c>
      <c r="T25" s="52">
        <v>26</v>
      </c>
      <c r="U25" s="50">
        <v>2</v>
      </c>
      <c r="V25" s="51">
        <v>28</v>
      </c>
      <c r="W25" s="50">
        <v>7</v>
      </c>
      <c r="X25" s="57">
        <v>23</v>
      </c>
      <c r="Y25" s="63"/>
      <c r="Z25" s="63"/>
      <c r="AA25" s="63"/>
      <c r="AB25" s="63"/>
      <c r="AC25" s="63"/>
      <c r="AD25" s="63"/>
      <c r="AE25" s="63"/>
      <c r="AF25" s="63"/>
      <c r="AG25" s="63"/>
      <c r="AH25" s="63"/>
      <c r="AI25" s="63"/>
      <c r="AJ25" s="63"/>
      <c r="AK25" s="58"/>
      <c r="AL25" s="58"/>
      <c r="AM25" s="58"/>
      <c r="AN25" s="58"/>
      <c r="AO25" s="58"/>
      <c r="AP25" s="32"/>
      <c r="AQ25" s="32"/>
    </row>
    <row r="26" spans="2:43" x14ac:dyDescent="0.25">
      <c r="B26" s="61">
        <f>IF(H26="","",RANK(H26,Table5[Total],0))</f>
        <v>17</v>
      </c>
      <c r="C26" s="66" t="s">
        <v>123</v>
      </c>
      <c r="D26" s="67"/>
      <c r="E26" s="68">
        <v>3.0601851851851852E-2</v>
      </c>
      <c r="F26" s="69">
        <f t="shared" si="0"/>
        <v>0</v>
      </c>
      <c r="G26" s="32">
        <v>41</v>
      </c>
      <c r="H26" s="69">
        <f t="shared" si="1"/>
        <v>41</v>
      </c>
      <c r="I26" s="72">
        <v>7</v>
      </c>
      <c r="J26" s="54">
        <v>18</v>
      </c>
      <c r="K26" s="50">
        <v>10</v>
      </c>
      <c r="L26" s="53">
        <v>11</v>
      </c>
      <c r="M26" s="50">
        <v>5</v>
      </c>
      <c r="N26" s="52">
        <v>25</v>
      </c>
      <c r="O26" s="50">
        <v>6</v>
      </c>
      <c r="P26" s="55">
        <v>20</v>
      </c>
      <c r="Q26" s="50">
        <v>8</v>
      </c>
      <c r="R26" s="76">
        <v>16</v>
      </c>
      <c r="S26" s="72">
        <v>1</v>
      </c>
      <c r="T26" s="75">
        <v>21</v>
      </c>
      <c r="U26" s="72">
        <v>4</v>
      </c>
      <c r="V26" s="79">
        <v>14</v>
      </c>
      <c r="W26" s="72">
        <v>2</v>
      </c>
      <c r="X26" s="78">
        <v>22</v>
      </c>
      <c r="Y26" s="72">
        <v>9</v>
      </c>
      <c r="Z26" s="76">
        <v>17</v>
      </c>
      <c r="AA26" s="80">
        <v>11</v>
      </c>
      <c r="AB26" s="81">
        <v>18</v>
      </c>
      <c r="AC26" s="70"/>
      <c r="AD26" s="70"/>
      <c r="AE26" s="70"/>
      <c r="AF26" s="70"/>
      <c r="AG26" s="70"/>
      <c r="AH26" s="70"/>
      <c r="AI26" s="70"/>
      <c r="AJ26" s="70"/>
      <c r="AK26" s="71"/>
      <c r="AL26" s="71"/>
      <c r="AM26" s="71"/>
      <c r="AN26" s="71"/>
      <c r="AO26" s="71"/>
      <c r="AP26" s="67"/>
      <c r="AQ26" s="67"/>
    </row>
    <row r="27" spans="2:43" x14ac:dyDescent="0.25">
      <c r="B27" s="61">
        <f>IF(H27="","",RANK(H27,Table5[Total],0))</f>
        <v>19</v>
      </c>
      <c r="C27" s="66" t="s">
        <v>118</v>
      </c>
      <c r="D27" s="67"/>
      <c r="E27" s="68">
        <v>2.9537037037037039E-2</v>
      </c>
      <c r="F27" s="69">
        <f t="shared" si="0"/>
        <v>0</v>
      </c>
      <c r="G27" s="32">
        <v>39</v>
      </c>
      <c r="H27" s="69">
        <f t="shared" si="1"/>
        <v>39</v>
      </c>
      <c r="I27" s="72">
        <v>7</v>
      </c>
      <c r="J27" s="57">
        <v>23</v>
      </c>
      <c r="K27" s="50">
        <v>10</v>
      </c>
      <c r="L27" s="53">
        <v>11</v>
      </c>
      <c r="M27" s="50">
        <v>5</v>
      </c>
      <c r="N27" s="54">
        <v>15</v>
      </c>
      <c r="O27" s="50">
        <v>6</v>
      </c>
      <c r="P27" s="57">
        <v>24</v>
      </c>
      <c r="Q27" s="50">
        <v>8</v>
      </c>
      <c r="R27" s="76">
        <v>16</v>
      </c>
      <c r="S27" s="72">
        <v>1</v>
      </c>
      <c r="T27" s="79">
        <v>13</v>
      </c>
      <c r="U27" s="72">
        <v>4</v>
      </c>
      <c r="V27" s="79">
        <v>14</v>
      </c>
      <c r="W27" s="72">
        <v>2</v>
      </c>
      <c r="X27" s="77">
        <v>3</v>
      </c>
      <c r="Y27" s="78">
        <v>22</v>
      </c>
      <c r="Z27" s="72">
        <v>9</v>
      </c>
      <c r="AA27" s="76">
        <v>17</v>
      </c>
      <c r="AB27" s="80">
        <v>14</v>
      </c>
      <c r="AC27" s="81">
        <v>18</v>
      </c>
      <c r="AD27" s="82">
        <v>19</v>
      </c>
      <c r="AE27" s="70"/>
      <c r="AF27" s="70"/>
      <c r="AG27" s="70"/>
      <c r="AH27" s="70"/>
      <c r="AI27" s="70"/>
      <c r="AJ27" s="70"/>
      <c r="AK27" s="71"/>
      <c r="AL27" s="71"/>
      <c r="AM27" s="71"/>
      <c r="AN27" s="71"/>
      <c r="AO27" s="71"/>
      <c r="AP27" s="67"/>
      <c r="AQ27" s="67"/>
    </row>
    <row r="28" spans="2:43" x14ac:dyDescent="0.25">
      <c r="B28" s="61">
        <f>IF(H28="","",RANK(H28,Table5[Total],0))</f>
        <v>20</v>
      </c>
      <c r="C28" s="66" t="s">
        <v>115</v>
      </c>
      <c r="D28" s="67"/>
      <c r="E28" s="68">
        <v>2.9062500000000002E-2</v>
      </c>
      <c r="F28" s="69">
        <f t="shared" si="0"/>
        <v>0</v>
      </c>
      <c r="G28" s="32">
        <v>38</v>
      </c>
      <c r="H28" s="69">
        <f t="shared" si="1"/>
        <v>38</v>
      </c>
      <c r="I28" s="72">
        <v>7</v>
      </c>
      <c r="J28" s="54">
        <v>18</v>
      </c>
      <c r="K28" s="50">
        <v>4</v>
      </c>
      <c r="L28" s="53">
        <v>14</v>
      </c>
      <c r="M28" s="50">
        <v>1</v>
      </c>
      <c r="N28" s="55">
        <v>21</v>
      </c>
      <c r="O28" s="50">
        <v>6</v>
      </c>
      <c r="P28" s="57">
        <v>24</v>
      </c>
      <c r="Q28" s="50">
        <v>5</v>
      </c>
      <c r="R28" s="73">
        <v>25</v>
      </c>
      <c r="S28" s="72">
        <v>8</v>
      </c>
      <c r="T28" s="74">
        <v>27</v>
      </c>
      <c r="U28" s="72">
        <v>2</v>
      </c>
      <c r="V28" s="75">
        <v>19</v>
      </c>
      <c r="W28" s="70"/>
      <c r="X28" s="70"/>
      <c r="Y28" s="70"/>
      <c r="Z28" s="70"/>
      <c r="AA28" s="70"/>
      <c r="AB28" s="70"/>
      <c r="AC28" s="70"/>
      <c r="AD28" s="70"/>
      <c r="AE28" s="70"/>
      <c r="AF28" s="70"/>
      <c r="AG28" s="70"/>
      <c r="AH28" s="70"/>
      <c r="AI28" s="70"/>
      <c r="AJ28" s="70"/>
      <c r="AK28" s="71"/>
      <c r="AL28" s="71"/>
      <c r="AM28" s="71"/>
      <c r="AN28" s="71"/>
      <c r="AO28" s="71"/>
      <c r="AP28" s="67"/>
      <c r="AQ28" s="67"/>
    </row>
    <row r="29" spans="2:43" x14ac:dyDescent="0.25">
      <c r="B29" s="61">
        <f>IF(H29="","",RANK(H29,Table5[Total],0))</f>
        <v>21</v>
      </c>
      <c r="C29" s="66" t="s">
        <v>108</v>
      </c>
      <c r="D29" s="32"/>
      <c r="E29" s="48">
        <v>2.7581018518518519E-2</v>
      </c>
      <c r="F29" s="49">
        <f t="shared" si="0"/>
        <v>0</v>
      </c>
      <c r="G29" s="32">
        <v>36</v>
      </c>
      <c r="H29" s="49">
        <f t="shared" si="1"/>
        <v>36</v>
      </c>
      <c r="I29" s="50">
        <v>7</v>
      </c>
      <c r="J29" s="54">
        <v>18</v>
      </c>
      <c r="K29" s="50">
        <v>2</v>
      </c>
      <c r="L29" s="53">
        <v>14</v>
      </c>
      <c r="M29" s="50">
        <v>4</v>
      </c>
      <c r="N29" s="55">
        <v>21</v>
      </c>
      <c r="O29" s="50">
        <v>5</v>
      </c>
      <c r="P29" s="54">
        <v>15</v>
      </c>
      <c r="Q29" s="50">
        <v>6</v>
      </c>
      <c r="R29" s="55">
        <v>20</v>
      </c>
      <c r="S29" s="50">
        <v>8</v>
      </c>
      <c r="T29" s="54">
        <v>16</v>
      </c>
      <c r="U29" s="50">
        <v>1</v>
      </c>
      <c r="V29" s="57">
        <v>22</v>
      </c>
      <c r="W29" s="50">
        <v>3</v>
      </c>
      <c r="X29" s="59">
        <v>9</v>
      </c>
      <c r="Y29" s="55">
        <v>19</v>
      </c>
      <c r="Z29" s="62">
        <v>28</v>
      </c>
      <c r="AA29" s="63"/>
      <c r="AB29" s="63"/>
      <c r="AC29" s="63"/>
      <c r="AD29" s="63"/>
      <c r="AE29" s="63"/>
      <c r="AF29" s="63"/>
      <c r="AG29" s="63"/>
      <c r="AH29" s="63"/>
      <c r="AI29" s="63"/>
      <c r="AJ29" s="63"/>
      <c r="AK29" s="58"/>
      <c r="AL29" s="58"/>
      <c r="AM29" s="58"/>
      <c r="AN29" s="58"/>
      <c r="AO29" s="58"/>
      <c r="AP29" s="32"/>
      <c r="AQ29" s="32"/>
    </row>
    <row r="30" spans="2:43" x14ac:dyDescent="0.25">
      <c r="B30" s="61">
        <f>IF(H30="","",RANK(H30,Table5[Total],0))</f>
        <v>22</v>
      </c>
      <c r="C30" s="66" t="s">
        <v>112</v>
      </c>
      <c r="D30" s="32"/>
      <c r="E30" s="48">
        <v>3.3298611111111112E-2</v>
      </c>
      <c r="F30" s="49">
        <f t="shared" si="0"/>
        <v>18</v>
      </c>
      <c r="G30" s="32">
        <v>52</v>
      </c>
      <c r="H30" s="49">
        <f t="shared" si="1"/>
        <v>34</v>
      </c>
      <c r="I30" s="50">
        <v>7</v>
      </c>
      <c r="J30" s="57">
        <v>23</v>
      </c>
      <c r="K30" s="50">
        <v>10</v>
      </c>
      <c r="L30" s="52">
        <v>25</v>
      </c>
      <c r="M30" s="50">
        <v>5</v>
      </c>
      <c r="N30" s="59">
        <v>6</v>
      </c>
      <c r="O30" s="57">
        <v>24</v>
      </c>
      <c r="P30" s="50">
        <v>8</v>
      </c>
      <c r="Q30" s="54">
        <v>16</v>
      </c>
      <c r="R30" s="50">
        <v>1</v>
      </c>
      <c r="S30" s="55">
        <v>21</v>
      </c>
      <c r="T30" s="50">
        <v>4</v>
      </c>
      <c r="U30" s="51">
        <v>28</v>
      </c>
      <c r="V30" s="50">
        <v>2</v>
      </c>
      <c r="W30" s="57">
        <v>22</v>
      </c>
      <c r="X30" s="50">
        <v>9</v>
      </c>
      <c r="Y30" s="52">
        <v>26</v>
      </c>
      <c r="Z30" s="50">
        <v>3</v>
      </c>
      <c r="AA30" s="53">
        <v>13</v>
      </c>
      <c r="AB30" s="65">
        <v>15</v>
      </c>
      <c r="AC30" s="64">
        <v>21</v>
      </c>
      <c r="AD30" s="56">
        <v>23</v>
      </c>
      <c r="AE30" s="63"/>
      <c r="AF30" s="63"/>
      <c r="AG30" s="63"/>
      <c r="AH30" s="63"/>
      <c r="AI30" s="63"/>
      <c r="AJ30" s="63"/>
      <c r="AK30" s="58"/>
      <c r="AL30" s="58"/>
      <c r="AM30" s="58"/>
      <c r="AN30" s="58"/>
      <c r="AO30" s="58"/>
      <c r="AP30" s="32"/>
      <c r="AQ30" s="32"/>
    </row>
    <row r="31" spans="2:43" x14ac:dyDescent="0.25">
      <c r="B31" s="61">
        <f>IF(H31="","",RANK(H31,Table5[Total],0))</f>
        <v>23</v>
      </c>
      <c r="C31" s="66" t="s">
        <v>119</v>
      </c>
      <c r="D31" s="67"/>
      <c r="E31" s="68">
        <v>3.0972222222222224E-2</v>
      </c>
      <c r="F31" s="69">
        <f t="shared" si="0"/>
        <v>0</v>
      </c>
      <c r="G31" s="32">
        <v>32</v>
      </c>
      <c r="H31" s="69">
        <f t="shared" si="1"/>
        <v>32</v>
      </c>
      <c r="I31" s="72">
        <v>10</v>
      </c>
      <c r="J31" s="53">
        <v>11</v>
      </c>
      <c r="K31" s="50">
        <v>5</v>
      </c>
      <c r="L31" s="52">
        <v>25</v>
      </c>
      <c r="M31" s="50">
        <v>6</v>
      </c>
      <c r="N31" s="55">
        <v>20</v>
      </c>
      <c r="O31" s="50">
        <v>8</v>
      </c>
      <c r="P31" s="54">
        <v>16</v>
      </c>
      <c r="Q31" s="50">
        <v>1</v>
      </c>
      <c r="R31" s="75">
        <v>21</v>
      </c>
      <c r="S31" s="72">
        <v>4</v>
      </c>
      <c r="T31" s="74">
        <v>28</v>
      </c>
      <c r="U31" s="70"/>
      <c r="V31" s="70"/>
      <c r="W31" s="70"/>
      <c r="X31" s="70"/>
      <c r="Y31" s="70"/>
      <c r="Z31" s="70"/>
      <c r="AA31" s="70"/>
      <c r="AB31" s="70"/>
      <c r="AC31" s="70"/>
      <c r="AD31" s="70"/>
      <c r="AE31" s="70"/>
      <c r="AF31" s="70"/>
      <c r="AG31" s="70"/>
      <c r="AH31" s="70"/>
      <c r="AI31" s="70"/>
      <c r="AJ31" s="70"/>
      <c r="AK31" s="71"/>
      <c r="AL31" s="71"/>
      <c r="AM31" s="71"/>
      <c r="AN31" s="71"/>
      <c r="AO31" s="71"/>
      <c r="AP31" s="67"/>
      <c r="AQ31" s="67"/>
    </row>
    <row r="33" spans="43:43" x14ac:dyDescent="0.25">
      <c r="AQ33" s="31">
        <f>COLUMN(AQ32)</f>
        <v>43</v>
      </c>
    </row>
  </sheetData>
  <sheetProtection selectLockedCells="1"/>
  <mergeCells count="2">
    <mergeCell ref="B2:G2"/>
    <mergeCell ref="I2:Z2"/>
  </mergeCells>
  <pageMargins left="0.25" right="0.25" top="0.75" bottom="0.75" header="0.3" footer="0.3"/>
  <pageSetup paperSize="9"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alculate_score">
                <anchor moveWithCells="1" sizeWithCells="1">
                  <from>
                    <xdr:col>7</xdr:col>
                    <xdr:colOff>161925</xdr:colOff>
                    <xdr:row>4</xdr:row>
                    <xdr:rowOff>95250</xdr:rowOff>
                  </from>
                  <to>
                    <xdr:col>10</xdr:col>
                    <xdr:colOff>85725</xdr:colOff>
                    <xdr:row>5</xdr:row>
                    <xdr:rowOff>180975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171D8-0D77-414E-8CBE-AEBDD92C7937}">
  <sheetPr codeName="Sheet3"/>
  <dimension ref="B1:E30"/>
  <sheetViews>
    <sheetView workbookViewId="0">
      <selection activeCell="C21" sqref="C21"/>
    </sheetView>
  </sheetViews>
  <sheetFormatPr defaultRowHeight="15" x14ac:dyDescent="0.25"/>
  <cols>
    <col min="1" max="1" width="1.7109375" customWidth="1"/>
    <col min="2" max="2" width="10.85546875" style="1" customWidth="1"/>
    <col min="3" max="3" width="7.7109375" style="1" customWidth="1"/>
    <col min="4" max="5" width="9" style="1"/>
  </cols>
  <sheetData>
    <row r="1" spans="2:5" ht="9.9499999999999993" customHeight="1" x14ac:dyDescent="0.25"/>
    <row r="2" spans="2:5" ht="30" x14ac:dyDescent="0.25">
      <c r="B2" s="2" t="s">
        <v>0</v>
      </c>
      <c r="C2" s="1" t="s">
        <v>1</v>
      </c>
      <c r="D2" s="1" t="s">
        <v>2</v>
      </c>
      <c r="E2" s="1" t="s">
        <v>12</v>
      </c>
    </row>
    <row r="3" spans="2:5" x14ac:dyDescent="0.25">
      <c r="B3" s="1">
        <v>1</v>
      </c>
      <c r="C3" s="1" t="s">
        <v>9</v>
      </c>
      <c r="D3" s="1">
        <v>1</v>
      </c>
      <c r="E3" s="1" t="s">
        <v>13</v>
      </c>
    </row>
    <row r="4" spans="2:5" x14ac:dyDescent="0.25">
      <c r="B4" s="1">
        <v>2</v>
      </c>
      <c r="C4" s="1" t="s">
        <v>9</v>
      </c>
      <c r="D4" s="1">
        <v>1</v>
      </c>
      <c r="E4" s="1" t="s">
        <v>13</v>
      </c>
    </row>
    <row r="5" spans="2:5" x14ac:dyDescent="0.25">
      <c r="B5" s="1">
        <v>3</v>
      </c>
      <c r="C5" s="1" t="s">
        <v>9</v>
      </c>
      <c r="D5" s="1">
        <v>1</v>
      </c>
      <c r="E5" s="1" t="s">
        <v>13</v>
      </c>
    </row>
    <row r="6" spans="2:5" x14ac:dyDescent="0.25">
      <c r="B6" s="1">
        <v>4</v>
      </c>
      <c r="C6" s="1" t="s">
        <v>9</v>
      </c>
      <c r="D6" s="1">
        <v>1</v>
      </c>
      <c r="E6" s="1" t="s">
        <v>13</v>
      </c>
    </row>
    <row r="7" spans="2:5" x14ac:dyDescent="0.25">
      <c r="B7" s="1">
        <v>5</v>
      </c>
      <c r="C7" s="1" t="s">
        <v>9</v>
      </c>
      <c r="D7" s="1">
        <v>1</v>
      </c>
      <c r="E7" s="1" t="s">
        <v>13</v>
      </c>
    </row>
    <row r="8" spans="2:5" x14ac:dyDescent="0.25">
      <c r="B8" s="1">
        <v>6</v>
      </c>
      <c r="C8" s="1" t="s">
        <v>9</v>
      </c>
      <c r="D8" s="1">
        <v>1</v>
      </c>
      <c r="E8" s="1" t="s">
        <v>13</v>
      </c>
    </row>
    <row r="9" spans="2:5" x14ac:dyDescent="0.25">
      <c r="B9" s="1">
        <v>7</v>
      </c>
      <c r="C9" s="1" t="s">
        <v>9</v>
      </c>
      <c r="D9" s="1">
        <v>1</v>
      </c>
      <c r="E9" s="1" t="s">
        <v>13</v>
      </c>
    </row>
    <row r="10" spans="2:5" x14ac:dyDescent="0.25">
      <c r="B10" s="1">
        <v>8</v>
      </c>
      <c r="C10" s="1" t="s">
        <v>9</v>
      </c>
      <c r="D10" s="1">
        <v>1</v>
      </c>
      <c r="E10" s="1" t="s">
        <v>13</v>
      </c>
    </row>
    <row r="11" spans="2:5" x14ac:dyDescent="0.25">
      <c r="B11" s="1">
        <v>9</v>
      </c>
      <c r="C11" s="1" t="s">
        <v>9</v>
      </c>
      <c r="D11" s="1">
        <v>1</v>
      </c>
      <c r="E11" s="1" t="s">
        <v>13</v>
      </c>
    </row>
    <row r="12" spans="2:5" x14ac:dyDescent="0.25">
      <c r="B12" s="1">
        <v>10</v>
      </c>
      <c r="C12" s="1" t="s">
        <v>9</v>
      </c>
      <c r="D12" s="1">
        <v>1</v>
      </c>
      <c r="E12" s="1" t="s">
        <v>13</v>
      </c>
    </row>
    <row r="13" spans="2:5" x14ac:dyDescent="0.25">
      <c r="B13" s="1">
        <v>11</v>
      </c>
      <c r="C13" s="1" t="s">
        <v>3</v>
      </c>
      <c r="D13" s="1">
        <v>2</v>
      </c>
      <c r="E13" s="1" t="s">
        <v>14</v>
      </c>
    </row>
    <row r="14" spans="2:5" x14ac:dyDescent="0.25">
      <c r="B14" s="1">
        <v>12</v>
      </c>
      <c r="C14" s="1" t="s">
        <v>3</v>
      </c>
      <c r="D14" s="1">
        <v>2</v>
      </c>
      <c r="E14" s="1" t="s">
        <v>14</v>
      </c>
    </row>
    <row r="15" spans="2:5" x14ac:dyDescent="0.25">
      <c r="B15" s="1">
        <v>13</v>
      </c>
      <c r="C15" s="1" t="s">
        <v>3</v>
      </c>
      <c r="D15" s="1">
        <v>2</v>
      </c>
      <c r="E15" s="1" t="s">
        <v>14</v>
      </c>
    </row>
    <row r="16" spans="2:5" x14ac:dyDescent="0.25">
      <c r="B16" s="1">
        <v>14</v>
      </c>
      <c r="C16" s="1" t="s">
        <v>3</v>
      </c>
      <c r="D16" s="1">
        <v>2</v>
      </c>
      <c r="E16" s="1" t="s">
        <v>14</v>
      </c>
    </row>
    <row r="17" spans="2:5" x14ac:dyDescent="0.25">
      <c r="B17" s="1">
        <v>15</v>
      </c>
      <c r="C17" s="1" t="s">
        <v>4</v>
      </c>
      <c r="D17" s="1">
        <v>3</v>
      </c>
      <c r="E17" s="1" t="s">
        <v>14</v>
      </c>
    </row>
    <row r="18" spans="2:5" x14ac:dyDescent="0.25">
      <c r="B18" s="1">
        <v>16</v>
      </c>
      <c r="C18" s="1" t="s">
        <v>4</v>
      </c>
      <c r="D18" s="1">
        <v>3</v>
      </c>
      <c r="E18" s="1" t="s">
        <v>14</v>
      </c>
    </row>
    <row r="19" spans="2:5" x14ac:dyDescent="0.25">
      <c r="B19" s="1">
        <v>17</v>
      </c>
      <c r="C19" s="1" t="s">
        <v>4</v>
      </c>
      <c r="D19" s="1">
        <v>3</v>
      </c>
      <c r="E19" s="1" t="s">
        <v>14</v>
      </c>
    </row>
    <row r="20" spans="2:5" x14ac:dyDescent="0.25">
      <c r="B20" s="1">
        <v>18</v>
      </c>
      <c r="C20" s="1" t="s">
        <v>4</v>
      </c>
      <c r="D20" s="1">
        <v>3</v>
      </c>
      <c r="E20" s="1" t="s">
        <v>14</v>
      </c>
    </row>
    <row r="21" spans="2:5" x14ac:dyDescent="0.25">
      <c r="B21" s="1">
        <v>19</v>
      </c>
      <c r="C21" s="1" t="s">
        <v>5</v>
      </c>
      <c r="D21" s="1">
        <v>4</v>
      </c>
      <c r="E21" s="1" t="s">
        <v>14</v>
      </c>
    </row>
    <row r="22" spans="2:5" x14ac:dyDescent="0.25">
      <c r="B22" s="1">
        <v>20</v>
      </c>
      <c r="C22" s="1" t="s">
        <v>5</v>
      </c>
      <c r="D22" s="1">
        <v>4</v>
      </c>
      <c r="E22" s="1" t="s">
        <v>14</v>
      </c>
    </row>
    <row r="23" spans="2:5" x14ac:dyDescent="0.25">
      <c r="B23" s="1">
        <v>21</v>
      </c>
      <c r="C23" s="1" t="s">
        <v>5</v>
      </c>
      <c r="D23" s="1">
        <v>4</v>
      </c>
      <c r="E23" s="1" t="s">
        <v>14</v>
      </c>
    </row>
    <row r="24" spans="2:5" x14ac:dyDescent="0.25">
      <c r="B24" s="1">
        <v>22</v>
      </c>
      <c r="C24" s="1" t="s">
        <v>6</v>
      </c>
      <c r="D24" s="1">
        <v>5</v>
      </c>
      <c r="E24" s="1" t="s">
        <v>14</v>
      </c>
    </row>
    <row r="25" spans="2:5" x14ac:dyDescent="0.25">
      <c r="B25" s="1">
        <v>23</v>
      </c>
      <c r="C25" s="1" t="s">
        <v>6</v>
      </c>
      <c r="D25" s="1">
        <v>5</v>
      </c>
      <c r="E25" s="1" t="s">
        <v>14</v>
      </c>
    </row>
    <row r="26" spans="2:5" x14ac:dyDescent="0.25">
      <c r="B26" s="1">
        <v>24</v>
      </c>
      <c r="C26" s="1" t="s">
        <v>6</v>
      </c>
      <c r="D26" s="1">
        <v>5</v>
      </c>
      <c r="E26" s="1" t="s">
        <v>14</v>
      </c>
    </row>
    <row r="27" spans="2:5" x14ac:dyDescent="0.25">
      <c r="B27" s="1">
        <v>25</v>
      </c>
      <c r="C27" s="1" t="s">
        <v>7</v>
      </c>
      <c r="D27" s="1">
        <v>6</v>
      </c>
      <c r="E27" s="1" t="s">
        <v>14</v>
      </c>
    </row>
    <row r="28" spans="2:5" x14ac:dyDescent="0.25">
      <c r="B28" s="1">
        <v>26</v>
      </c>
      <c r="C28" s="1" t="s">
        <v>7</v>
      </c>
      <c r="D28" s="1">
        <v>6</v>
      </c>
      <c r="E28" s="1" t="s">
        <v>14</v>
      </c>
    </row>
    <row r="29" spans="2:5" x14ac:dyDescent="0.25">
      <c r="B29" s="1">
        <v>27</v>
      </c>
      <c r="C29" s="1" t="s">
        <v>8</v>
      </c>
      <c r="D29" s="1">
        <v>7</v>
      </c>
      <c r="E29" s="1" t="s">
        <v>14</v>
      </c>
    </row>
    <row r="30" spans="2:5" x14ac:dyDescent="0.25">
      <c r="B30" s="1">
        <v>28</v>
      </c>
      <c r="C30" s="1" t="s">
        <v>8</v>
      </c>
      <c r="D30" s="1">
        <v>7</v>
      </c>
      <c r="E30" s="1" t="s">
        <v>14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CDD08-FD36-4357-A5E6-4AC7165EFB01}">
  <sheetPr codeName="Sheet1">
    <pageSetUpPr fitToPage="1"/>
  </sheetPr>
  <dimension ref="B1:L11"/>
  <sheetViews>
    <sheetView topLeftCell="D1" workbookViewId="0">
      <selection activeCell="E3" sqref="E3:I3"/>
    </sheetView>
  </sheetViews>
  <sheetFormatPr defaultColWidth="9" defaultRowHeight="15" x14ac:dyDescent="0.25"/>
  <cols>
    <col min="1" max="1" width="1.7109375" style="3" customWidth="1"/>
    <col min="2" max="2" width="6.28515625" style="3" customWidth="1"/>
    <col min="3" max="4" width="77.28515625" style="4" customWidth="1"/>
    <col min="5" max="12" width="6.7109375" style="5" customWidth="1"/>
    <col min="13" max="16384" width="9" style="3"/>
  </cols>
  <sheetData>
    <row r="1" spans="2:12" ht="9.9499999999999993" customHeight="1" x14ac:dyDescent="0.25"/>
    <row r="2" spans="2:12" x14ac:dyDescent="0.25">
      <c r="B2" s="6" t="s">
        <v>75</v>
      </c>
      <c r="C2" s="4" t="s">
        <v>76</v>
      </c>
      <c r="D2" s="4" t="s">
        <v>87</v>
      </c>
      <c r="E2" s="5" t="s">
        <v>77</v>
      </c>
      <c r="F2" s="5" t="s">
        <v>92</v>
      </c>
      <c r="G2" s="5" t="s">
        <v>93</v>
      </c>
      <c r="H2" s="5" t="s">
        <v>94</v>
      </c>
      <c r="I2" s="5" t="s">
        <v>95</v>
      </c>
      <c r="J2" s="5" t="s">
        <v>96</v>
      </c>
      <c r="K2" s="5" t="s">
        <v>97</v>
      </c>
      <c r="L2" s="5" t="s">
        <v>98</v>
      </c>
    </row>
    <row r="3" spans="2:12" x14ac:dyDescent="0.25">
      <c r="B3" s="7">
        <v>1</v>
      </c>
      <c r="C3" s="8" t="s">
        <v>78</v>
      </c>
      <c r="D3" s="8" t="s">
        <v>88</v>
      </c>
      <c r="E3" s="9">
        <v>27</v>
      </c>
      <c r="F3" s="10">
        <v>1</v>
      </c>
      <c r="G3" s="11">
        <v>11</v>
      </c>
      <c r="H3" s="10">
        <v>2</v>
      </c>
      <c r="I3" s="11">
        <v>12</v>
      </c>
    </row>
    <row r="4" spans="2:12" ht="30" x14ac:dyDescent="0.25">
      <c r="B4" s="7">
        <v>2</v>
      </c>
      <c r="C4" s="8" t="s">
        <v>79</v>
      </c>
      <c r="D4" s="8" t="s">
        <v>91</v>
      </c>
      <c r="E4" s="10">
        <v>1</v>
      </c>
      <c r="F4" s="12">
        <v>27</v>
      </c>
      <c r="G4" s="10">
        <v>2</v>
      </c>
      <c r="H4" s="13">
        <v>26</v>
      </c>
      <c r="I4" s="10">
        <v>3</v>
      </c>
    </row>
    <row r="5" spans="2:12" ht="45" x14ac:dyDescent="0.25">
      <c r="B5" s="7">
        <v>3</v>
      </c>
      <c r="C5" s="8" t="s">
        <v>80</v>
      </c>
      <c r="D5" s="8" t="s">
        <v>89</v>
      </c>
      <c r="E5" s="10">
        <v>3</v>
      </c>
      <c r="F5" s="13">
        <v>25</v>
      </c>
      <c r="G5" s="10">
        <v>4</v>
      </c>
      <c r="H5" s="14">
        <v>25</v>
      </c>
      <c r="I5" s="15">
        <v>5</v>
      </c>
      <c r="J5" s="11">
        <v>12</v>
      </c>
    </row>
    <row r="6" spans="2:12" ht="45" x14ac:dyDescent="0.25">
      <c r="B6" s="7">
        <v>4</v>
      </c>
      <c r="C6" s="8" t="s">
        <v>81</v>
      </c>
      <c r="D6" s="8" t="s">
        <v>99</v>
      </c>
      <c r="E6" s="10">
        <v>2</v>
      </c>
      <c r="F6" s="11">
        <v>12</v>
      </c>
      <c r="G6" s="15">
        <v>2</v>
      </c>
      <c r="H6" s="16">
        <v>13</v>
      </c>
      <c r="I6" s="10">
        <v>4</v>
      </c>
      <c r="J6" s="11">
        <v>14</v>
      </c>
    </row>
    <row r="7" spans="2:12" ht="45" x14ac:dyDescent="0.25">
      <c r="B7" s="7">
        <v>5</v>
      </c>
      <c r="C7" s="8" t="s">
        <v>82</v>
      </c>
      <c r="D7" s="8" t="s">
        <v>100</v>
      </c>
      <c r="E7" s="10">
        <v>1</v>
      </c>
      <c r="F7" s="15">
        <v>2</v>
      </c>
      <c r="G7" s="15">
        <v>3</v>
      </c>
      <c r="H7" s="11">
        <v>11</v>
      </c>
      <c r="I7" s="10">
        <v>4</v>
      </c>
      <c r="J7" s="17">
        <v>15</v>
      </c>
    </row>
    <row r="8" spans="2:12" ht="45" x14ac:dyDescent="0.25">
      <c r="B8" s="7">
        <v>6</v>
      </c>
      <c r="C8" s="8" t="s">
        <v>83</v>
      </c>
      <c r="D8" s="8"/>
      <c r="E8" s="11">
        <v>11</v>
      </c>
      <c r="F8" s="17">
        <v>15</v>
      </c>
      <c r="G8" s="18">
        <v>19</v>
      </c>
      <c r="H8" s="19">
        <v>23</v>
      </c>
      <c r="I8" s="13">
        <v>25</v>
      </c>
      <c r="J8" s="12">
        <v>27</v>
      </c>
    </row>
    <row r="9" spans="2:12" ht="45" x14ac:dyDescent="0.25">
      <c r="B9" s="7">
        <v>7</v>
      </c>
      <c r="C9" s="8" t="s">
        <v>84</v>
      </c>
      <c r="D9" s="8" t="s">
        <v>101</v>
      </c>
      <c r="E9" s="10">
        <v>10</v>
      </c>
      <c r="F9" s="11">
        <v>13</v>
      </c>
      <c r="G9" s="11">
        <v>14</v>
      </c>
      <c r="H9" s="17">
        <v>15</v>
      </c>
      <c r="I9" s="18">
        <v>19</v>
      </c>
      <c r="J9" s="19">
        <v>23</v>
      </c>
      <c r="K9" s="13">
        <v>25</v>
      </c>
      <c r="L9" s="12">
        <v>28</v>
      </c>
    </row>
    <row r="10" spans="2:12" ht="30" x14ac:dyDescent="0.25">
      <c r="B10" s="7">
        <v>8</v>
      </c>
      <c r="C10" s="8" t="s">
        <v>85</v>
      </c>
      <c r="D10" s="8" t="s">
        <v>102</v>
      </c>
      <c r="E10" s="11">
        <v>11</v>
      </c>
      <c r="F10" s="17">
        <v>15</v>
      </c>
      <c r="G10" s="20">
        <v>23</v>
      </c>
      <c r="H10" s="18">
        <v>19</v>
      </c>
      <c r="I10" s="19">
        <v>23</v>
      </c>
    </row>
    <row r="11" spans="2:12" x14ac:dyDescent="0.25">
      <c r="B11" s="7">
        <v>9</v>
      </c>
      <c r="C11" s="8" t="s">
        <v>86</v>
      </c>
      <c r="D11" s="8"/>
    </row>
  </sheetData>
  <pageMargins left="0.25" right="0.25" top="0.75" bottom="0.75" header="0.3" footer="0.3"/>
  <pageSetup paperSize="9" scale="63" orientation="landscape"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DE27C-1A96-4937-89A1-EBD7E388D722}">
  <sheetPr codeName="Sheet6"/>
  <dimension ref="B2:X38"/>
  <sheetViews>
    <sheetView topLeftCell="A2" workbookViewId="0">
      <selection activeCell="X4" sqref="X4"/>
    </sheetView>
  </sheetViews>
  <sheetFormatPr defaultColWidth="9" defaultRowHeight="15" x14ac:dyDescent="0.25"/>
  <cols>
    <col min="1" max="1" width="1.7109375" style="22" customWidth="1"/>
    <col min="2" max="2" width="3.28515625" style="21" bestFit="1" customWidth="1"/>
    <col min="3" max="3" width="4.7109375" style="21" customWidth="1"/>
    <col min="4" max="4" width="9" style="22"/>
    <col min="5" max="8" width="3.7109375" style="21" customWidth="1"/>
    <col min="9" max="9" width="1.7109375" style="21" customWidth="1"/>
    <col min="10" max="10" width="3.7109375" style="21" customWidth="1"/>
    <col min="11" max="11" width="1.7109375" style="21" customWidth="1"/>
    <col min="12" max="13" width="5.7109375" style="21" bestFit="1" customWidth="1"/>
    <col min="14" max="15" width="3.7109375" style="21" customWidth="1"/>
    <col min="16" max="16" width="3.7109375" style="28" customWidth="1"/>
    <col min="17" max="17" width="1.7109375" style="21" customWidth="1"/>
    <col min="18" max="19" width="3.7109375" style="21" customWidth="1"/>
    <col min="20" max="20" width="1.7109375" style="21" customWidth="1"/>
    <col min="21" max="21" width="3.7109375" style="21" customWidth="1"/>
    <col min="22" max="22" width="1.7109375" style="21" customWidth="1"/>
    <col min="23" max="16384" width="9" style="22"/>
  </cols>
  <sheetData>
    <row r="2" spans="2:24" x14ac:dyDescent="0.25">
      <c r="L2" s="86" t="s">
        <v>22</v>
      </c>
      <c r="M2" s="86"/>
      <c r="N2" s="86"/>
      <c r="O2" s="86"/>
      <c r="P2" s="23"/>
      <c r="R2" s="21" t="s">
        <v>25</v>
      </c>
    </row>
    <row r="3" spans="2:24" ht="112.35" customHeight="1" thickBot="1" x14ac:dyDescent="0.3">
      <c r="B3" s="24" t="s">
        <v>23</v>
      </c>
      <c r="C3" s="24" t="s">
        <v>0</v>
      </c>
      <c r="D3" s="24" t="s">
        <v>24</v>
      </c>
      <c r="E3" s="24" t="s">
        <v>20</v>
      </c>
      <c r="F3" s="24" t="s">
        <v>19</v>
      </c>
      <c r="G3" s="24" t="s">
        <v>17</v>
      </c>
      <c r="H3" s="24" t="s">
        <v>18</v>
      </c>
      <c r="J3" s="24" t="s">
        <v>16</v>
      </c>
      <c r="K3" s="24"/>
      <c r="L3" s="25" t="s">
        <v>63</v>
      </c>
      <c r="M3" s="25" t="s">
        <v>65</v>
      </c>
      <c r="N3" s="24" t="s">
        <v>64</v>
      </c>
      <c r="O3" s="24" t="s">
        <v>21</v>
      </c>
      <c r="P3" s="26" t="s">
        <v>69</v>
      </c>
      <c r="Q3" s="24"/>
      <c r="R3" s="24" t="s">
        <v>26</v>
      </c>
      <c r="S3" s="24" t="s">
        <v>90</v>
      </c>
      <c r="T3" s="24"/>
      <c r="U3" s="24" t="s">
        <v>15</v>
      </c>
      <c r="V3" s="24"/>
    </row>
    <row r="4" spans="2:24" ht="15.75" thickBot="1" x14ac:dyDescent="0.3">
      <c r="B4" s="21">
        <v>1</v>
      </c>
      <c r="C4" s="27">
        <v>10</v>
      </c>
      <c r="D4" s="22" t="str">
        <f>_xlfn.IFNA(INDEX(ControlSetup!$C$3:$C$30,MATCH(Calculation!$C4,ControlSetup!$B$3:$B$30,0)),"")</f>
        <v>Red</v>
      </c>
      <c r="E4" s="21">
        <f>_xlfn.IFNA(INDEX(ControlSetup!D$3:$D$30,MATCH(Calculation!$C4,ControlSetup!$B$3:$B$30,0)),)</f>
        <v>1</v>
      </c>
      <c r="F4" s="21" t="str">
        <f>_xlfn.IFNA(INDEX(ControlSetup!$E$3:$E$30,MATCH(Calculation!$C4,ControlSetup!$B$3:$B$30,0)),"")</f>
        <v>R</v>
      </c>
      <c r="G4" s="21">
        <f>IF($F4="R",$C4,"")</f>
        <v>10</v>
      </c>
      <c r="H4" s="21" t="str">
        <f>IF($F4="C",$C4,"")</f>
        <v/>
      </c>
      <c r="J4" s="21">
        <v>1</v>
      </c>
      <c r="L4" s="21">
        <f>IF($F4="R",1,0)</f>
        <v>1</v>
      </c>
      <c r="M4" s="21">
        <v>0</v>
      </c>
      <c r="N4" s="21">
        <f>L4</f>
        <v>1</v>
      </c>
      <c r="O4" s="21" t="str">
        <f>IF($M4=1,$C4,"")</f>
        <v/>
      </c>
      <c r="P4" s="28">
        <f>IF($F4="C",1,0)</f>
        <v>0</v>
      </c>
      <c r="R4" s="21">
        <v>0</v>
      </c>
      <c r="S4" s="21">
        <v>0</v>
      </c>
      <c r="U4" s="21">
        <f t="shared" ref="U4:U36" si="0">IF(C4&lt;&gt;"",IF(OR(AND($J4=1,SUM(L4:M4)=1),AND($J4=2,$R4=1)),E4,0),"-")</f>
        <v>1</v>
      </c>
      <c r="W4" s="29" t="s">
        <v>27</v>
      </c>
      <c r="X4" s="30">
        <f>SUM(U4:U38)</f>
        <v>32</v>
      </c>
    </row>
    <row r="5" spans="2:24" x14ac:dyDescent="0.25">
      <c r="B5" s="21">
        <v>2</v>
      </c>
      <c r="C5" s="27">
        <v>11</v>
      </c>
      <c r="D5" s="22" t="str">
        <f>_xlfn.IFNA(INDEX(ControlSetup!$C$3:$C$30,MATCH(Calculation!$C5,ControlSetup!$B$3:$B$30,0)),"")</f>
        <v>Yellow</v>
      </c>
      <c r="E5" s="21">
        <f>_xlfn.IFNA(INDEX(ControlSetup!D$3:$D$30,MATCH(Calculation!$C5,ControlSetup!$B$3:$B$30,0)),)</f>
        <v>2</v>
      </c>
      <c r="F5" s="21" t="str">
        <f>_xlfn.IFNA(INDEX(ControlSetup!$E$3:$E$30,MATCH(Calculation!$C5,ControlSetup!$B$3:$B$30,0)),"")</f>
        <v>C</v>
      </c>
      <c r="G5" s="21" t="str">
        <f t="shared" ref="G5:G38" si="1">IF(AND($L5=1,$P4=1),$C5,"")</f>
        <v/>
      </c>
      <c r="H5" s="21">
        <f t="shared" ref="H5:H38" si="2">IF($F5="C",$C5,"")</f>
        <v>11</v>
      </c>
      <c r="J5" s="28">
        <f>IF(AND($P4=1,SUM(IF(FREQUENCY($G$4:$G4,$G$4:$G4)&gt;0,1))=10),2,1)</f>
        <v>1</v>
      </c>
      <c r="L5" s="21">
        <f>IF(AND($F5="R",$P4=1,COUNTIF($G$4:$G4,$C5)=0),1,0)</f>
        <v>0</v>
      </c>
      <c r="M5" s="21">
        <f>IF(AND($F5="C",$N4=1,COUNTIF($O$4:$O4,$C5)=0),1,0)</f>
        <v>1</v>
      </c>
      <c r="N5" s="21">
        <f t="shared" ref="N5:N38" si="3">IF(OR($L5=1,AND($N4=1,$F5="R",$F4="R"),AND($N4=1,$F5="C",$M5=0),AND($N4=1,$F5="R",$L5=0)),1,0)</f>
        <v>0</v>
      </c>
      <c r="O5" s="21">
        <f>IF($M5=1,$C5,"")</f>
        <v>11</v>
      </c>
      <c r="P5" s="28">
        <f t="shared" ref="P5:P7" si="4">IF(OR($M5=1,AND($P4=1,$F5="R",$L5=0),AND($F5="C",$M5=0)),1,0)</f>
        <v>1</v>
      </c>
      <c r="R5" s="21">
        <f t="shared" ref="R5:R26" si="5">IF(AND($J5=2,OR(AND($E5=2,$C5&lt;&gt;$C4),AND($F5="C",$E5=$S4+1))),1,0)</f>
        <v>0</v>
      </c>
      <c r="S5" s="21">
        <f t="shared" ref="S5:S26" si="6">IF(R5=1,E5,S4)</f>
        <v>0</v>
      </c>
      <c r="U5" s="21">
        <f t="shared" si="0"/>
        <v>2</v>
      </c>
    </row>
    <row r="6" spans="2:24" x14ac:dyDescent="0.25">
      <c r="B6" s="21">
        <v>3</v>
      </c>
      <c r="C6" s="27">
        <v>5</v>
      </c>
      <c r="D6" s="22" t="str">
        <f>_xlfn.IFNA(INDEX(ControlSetup!$C$3:$C$30,MATCH(Calculation!$C6,ControlSetup!$B$3:$B$30,0)),"")</f>
        <v>Red</v>
      </c>
      <c r="E6" s="21">
        <f>_xlfn.IFNA(INDEX(ControlSetup!D$3:$D$30,MATCH(Calculation!$C6,ControlSetup!$B$3:$B$30,0)),)</f>
        <v>1</v>
      </c>
      <c r="F6" s="21" t="str">
        <f>_xlfn.IFNA(INDEX(ControlSetup!$E$3:$E$30,MATCH(Calculation!$C6,ControlSetup!$B$3:$B$30,0)),"")</f>
        <v>R</v>
      </c>
      <c r="G6" s="21">
        <f t="shared" si="1"/>
        <v>5</v>
      </c>
      <c r="H6" s="21" t="str">
        <f t="shared" si="2"/>
        <v/>
      </c>
      <c r="J6" s="28">
        <f>IF(AND($P5=1,SUM(IF(FREQUENCY($G$4:$G5,$G$4:$G5)&gt;0,1))=10),2,1)</f>
        <v>1</v>
      </c>
      <c r="L6" s="21">
        <f>IF(AND($F6="R",$P5=1,COUNTIF($G$4:$G5,$C6)=0),1,0)</f>
        <v>1</v>
      </c>
      <c r="M6" s="21">
        <f>IF(AND($F6="C",$N5=1,COUNTIF($O$4:$O5,$C6)=0),1,0)</f>
        <v>0</v>
      </c>
      <c r="N6" s="21">
        <f t="shared" si="3"/>
        <v>1</v>
      </c>
      <c r="O6" s="21" t="str">
        <f t="shared" ref="O6:O38" si="7">IF($M6=1,$C6,"")</f>
        <v/>
      </c>
      <c r="P6" s="28">
        <f t="shared" si="4"/>
        <v>0</v>
      </c>
      <c r="R6" s="21">
        <f t="shared" si="5"/>
        <v>0</v>
      </c>
      <c r="S6" s="21">
        <f t="shared" si="6"/>
        <v>0</v>
      </c>
      <c r="U6" s="21">
        <f t="shared" si="0"/>
        <v>1</v>
      </c>
    </row>
    <row r="7" spans="2:24" x14ac:dyDescent="0.25">
      <c r="B7" s="21">
        <v>4</v>
      </c>
      <c r="C7" s="27">
        <v>25</v>
      </c>
      <c r="D7" s="22" t="str">
        <f>_xlfn.IFNA(INDEX(ControlSetup!$C$3:$C$30,MATCH(Calculation!$C7,ControlSetup!$B$3:$B$30,0)),"")</f>
        <v>Pink</v>
      </c>
      <c r="E7" s="21">
        <f>_xlfn.IFNA(INDEX(ControlSetup!D$3:$D$30,MATCH(Calculation!$C7,ControlSetup!$B$3:$B$30,0)),)</f>
        <v>6</v>
      </c>
      <c r="F7" s="21" t="str">
        <f>_xlfn.IFNA(INDEX(ControlSetup!$E$3:$E$30,MATCH(Calculation!$C7,ControlSetup!$B$3:$B$30,0)),"")</f>
        <v>C</v>
      </c>
      <c r="G7" s="21" t="str">
        <f t="shared" si="1"/>
        <v/>
      </c>
      <c r="H7" s="21">
        <f t="shared" si="2"/>
        <v>25</v>
      </c>
      <c r="J7" s="28">
        <f>IF(AND($P6=1,SUM(IF(FREQUENCY($G$4:$G6,$G$4:$G6)&gt;0,1))=10),2,1)</f>
        <v>1</v>
      </c>
      <c r="L7" s="21">
        <f>IF(AND($F7="R",$P6=1,COUNTIF($G$4:$G6,$C7)=0),1,0)</f>
        <v>0</v>
      </c>
      <c r="M7" s="21">
        <f>IF(AND($F7="C",$N6=1,COUNTIF($O$4:$O6,$C7)=0),1,0)</f>
        <v>1</v>
      </c>
      <c r="N7" s="21">
        <f>IF(OR($L7=1,AND($N6=1,$F7="R",$F6="R"),AND($N6=1,$F7="C",$M7=0),AND($N6=1,$F7="R",$L7=0)),1,0)</f>
        <v>0</v>
      </c>
      <c r="O7" s="21">
        <f t="shared" si="7"/>
        <v>25</v>
      </c>
      <c r="P7" s="28">
        <f t="shared" si="4"/>
        <v>1</v>
      </c>
      <c r="R7" s="21">
        <f t="shared" si="5"/>
        <v>0</v>
      </c>
      <c r="S7" s="21">
        <f t="shared" si="6"/>
        <v>0</v>
      </c>
      <c r="U7" s="21">
        <f>IF(C7&lt;&gt;"",IF(OR(AND($J7=1,SUM(L7:M7)=1),AND($J7=2,$R7=1)),E7,0),"-")</f>
        <v>6</v>
      </c>
    </row>
    <row r="8" spans="2:24" x14ac:dyDescent="0.25">
      <c r="B8" s="21">
        <v>5</v>
      </c>
      <c r="C8" s="27">
        <v>6</v>
      </c>
      <c r="D8" s="22" t="str">
        <f>_xlfn.IFNA(INDEX(ControlSetup!$C$3:$C$30,MATCH(Calculation!$C8,ControlSetup!$B$3:$B$30,0)),"")</f>
        <v>Red</v>
      </c>
      <c r="E8" s="21">
        <f>_xlfn.IFNA(INDEX(ControlSetup!D$3:$D$30,MATCH(Calculation!$C8,ControlSetup!$B$3:$B$30,0)),)</f>
        <v>1</v>
      </c>
      <c r="F8" s="21" t="str">
        <f>_xlfn.IFNA(INDEX(ControlSetup!$E$3:$E$30,MATCH(Calculation!$C8,ControlSetup!$B$3:$B$30,0)),"")</f>
        <v>R</v>
      </c>
      <c r="G8" s="21">
        <f t="shared" si="1"/>
        <v>6</v>
      </c>
      <c r="H8" s="21" t="str">
        <f t="shared" si="2"/>
        <v/>
      </c>
      <c r="J8" s="28">
        <f>IF(AND($P7=1,SUM(IF(FREQUENCY($G$4:$G7,$G$4:$G7)&gt;0,1))=10),2,1)</f>
        <v>1</v>
      </c>
      <c r="L8" s="21">
        <f>IF(AND($F8="R",$P7=1,COUNTIF($G$4:$G7,$C8)=0),1,0)</f>
        <v>1</v>
      </c>
      <c r="M8" s="21">
        <f>IF(AND($F8="C",$N7=1,COUNTIF($O$4:$O7,$C8)=0),1,0)</f>
        <v>0</v>
      </c>
      <c r="N8" s="21">
        <f t="shared" si="3"/>
        <v>1</v>
      </c>
      <c r="O8" s="21" t="str">
        <f t="shared" si="7"/>
        <v/>
      </c>
      <c r="P8" s="28">
        <f>IF(OR($M8=1,AND($P7=1,$F8="R",$L8=0),AND($F8="C",$M8=0)),1,0)</f>
        <v>0</v>
      </c>
      <c r="R8" s="21">
        <f t="shared" si="5"/>
        <v>0</v>
      </c>
      <c r="S8" s="21">
        <f t="shared" si="6"/>
        <v>0</v>
      </c>
      <c r="U8" s="21">
        <f t="shared" si="0"/>
        <v>1</v>
      </c>
    </row>
    <row r="9" spans="2:24" x14ac:dyDescent="0.25">
      <c r="B9" s="21">
        <v>6</v>
      </c>
      <c r="C9" s="27">
        <v>20</v>
      </c>
      <c r="D9" s="22" t="str">
        <f>_xlfn.IFNA(INDEX(ControlSetup!$C$3:$C$30,MATCH(Calculation!$C9,ControlSetup!$B$3:$B$30,0)),"")</f>
        <v>Brown</v>
      </c>
      <c r="E9" s="21">
        <f>_xlfn.IFNA(INDEX(ControlSetup!D$3:$D$30,MATCH(Calculation!$C9,ControlSetup!$B$3:$B$30,0)),)</f>
        <v>4</v>
      </c>
      <c r="F9" s="21" t="str">
        <f>_xlfn.IFNA(INDEX(ControlSetup!$E$3:$E$30,MATCH(Calculation!$C9,ControlSetup!$B$3:$B$30,0)),"")</f>
        <v>C</v>
      </c>
      <c r="G9" s="21" t="str">
        <f>IF(AND($L9=1,$P8=1),$C9,"")</f>
        <v/>
      </c>
      <c r="H9" s="21">
        <f t="shared" si="2"/>
        <v>20</v>
      </c>
      <c r="J9" s="28">
        <f>IF(AND($P8=1,SUM(IF(FREQUENCY($G$4:$G8,$G$4:$G8)&gt;0,1))=10),2,1)</f>
        <v>1</v>
      </c>
      <c r="L9" s="21">
        <f>IF(AND($F9="R",$P8=1,COUNTIF($G$4:$G8,$C9)=0),1,0)</f>
        <v>0</v>
      </c>
      <c r="M9" s="21">
        <f>IF(AND($F9="C",$N8=1,COUNTIF($O$4:$O8,$C9)=0),1,0)</f>
        <v>1</v>
      </c>
      <c r="N9" s="21">
        <f t="shared" si="3"/>
        <v>0</v>
      </c>
      <c r="O9" s="21">
        <f t="shared" si="7"/>
        <v>20</v>
      </c>
      <c r="P9" s="28">
        <f t="shared" ref="P9:P38" si="8">IF(OR($M9=1,AND($P8=1,$F9="R",$L9=0),AND($F9="C",$M9=0)),1,0)</f>
        <v>1</v>
      </c>
      <c r="R9" s="21">
        <f t="shared" si="5"/>
        <v>0</v>
      </c>
      <c r="S9" s="21">
        <f t="shared" si="6"/>
        <v>0</v>
      </c>
      <c r="U9" s="21">
        <f t="shared" si="0"/>
        <v>4</v>
      </c>
    </row>
    <row r="10" spans="2:24" x14ac:dyDescent="0.25">
      <c r="B10" s="21">
        <v>7</v>
      </c>
      <c r="C10" s="27">
        <v>8</v>
      </c>
      <c r="D10" s="22" t="str">
        <f>_xlfn.IFNA(INDEX(ControlSetup!$C$3:$C$30,MATCH(Calculation!$C10,ControlSetup!$B$3:$B$30,0)),"")</f>
        <v>Red</v>
      </c>
      <c r="E10" s="21">
        <f>_xlfn.IFNA(INDEX(ControlSetup!D$3:$D$30,MATCH(Calculation!$C10,ControlSetup!$B$3:$B$30,0)),)</f>
        <v>1</v>
      </c>
      <c r="F10" s="21" t="str">
        <f>_xlfn.IFNA(INDEX(ControlSetup!$E$3:$E$30,MATCH(Calculation!$C10,ControlSetup!$B$3:$B$30,0)),"")</f>
        <v>R</v>
      </c>
      <c r="G10" s="21">
        <f t="shared" si="1"/>
        <v>8</v>
      </c>
      <c r="H10" s="21" t="str">
        <f t="shared" si="2"/>
        <v/>
      </c>
      <c r="J10" s="28">
        <f>IF(AND($P9=1,SUM(IF(FREQUENCY($G$4:$G9,$G$4:$G9)&gt;0,1))=10),2,1)</f>
        <v>1</v>
      </c>
      <c r="L10" s="21">
        <f>IF(AND($F10="R",$P9=1,COUNTIF($G$4:$G9,$C10)=0),1,0)</f>
        <v>1</v>
      </c>
      <c r="M10" s="21">
        <f>IF(AND($F10="C",$N9=1,COUNTIF($O$4:$O9,$C10)=0),1,0)</f>
        <v>0</v>
      </c>
      <c r="N10" s="21">
        <f t="shared" si="3"/>
        <v>1</v>
      </c>
      <c r="O10" s="21" t="str">
        <f t="shared" si="7"/>
        <v/>
      </c>
      <c r="P10" s="28">
        <f t="shared" si="8"/>
        <v>0</v>
      </c>
      <c r="R10" s="21">
        <f t="shared" si="5"/>
        <v>0</v>
      </c>
      <c r="S10" s="21">
        <f t="shared" si="6"/>
        <v>0</v>
      </c>
      <c r="U10" s="21">
        <f t="shared" si="0"/>
        <v>1</v>
      </c>
    </row>
    <row r="11" spans="2:24" x14ac:dyDescent="0.25">
      <c r="B11" s="21">
        <v>8</v>
      </c>
      <c r="C11" s="27">
        <v>16</v>
      </c>
      <c r="D11" s="22" t="str">
        <f>_xlfn.IFNA(INDEX(ControlSetup!$C$3:$C$30,MATCH(Calculation!$C11,ControlSetup!$B$3:$B$30,0)),"")</f>
        <v>Green</v>
      </c>
      <c r="E11" s="21">
        <f>_xlfn.IFNA(INDEX(ControlSetup!D$3:$D$30,MATCH(Calculation!$C11,ControlSetup!$B$3:$B$30,0)),)</f>
        <v>3</v>
      </c>
      <c r="F11" s="21" t="str">
        <f>_xlfn.IFNA(INDEX(ControlSetup!$E$3:$E$30,MATCH(Calculation!$C11,ControlSetup!$B$3:$B$30,0)),"")</f>
        <v>C</v>
      </c>
      <c r="G11" s="21" t="str">
        <f t="shared" si="1"/>
        <v/>
      </c>
      <c r="H11" s="21">
        <f t="shared" si="2"/>
        <v>16</v>
      </c>
      <c r="J11" s="28">
        <f>IF(AND($P10=1,SUM(IF(FREQUENCY($G$4:$G10,$G$4:$G10)&gt;0,1))=10),2,1)</f>
        <v>1</v>
      </c>
      <c r="L11" s="21">
        <f>IF(AND($F11="R",$P10=1,COUNTIF($G$4:$G10,$C11)=0),1,0)</f>
        <v>0</v>
      </c>
      <c r="M11" s="21">
        <f>IF(AND($F11="C",$N10=1,COUNTIF($O$4:$O10,$C11)=0),1,0)</f>
        <v>1</v>
      </c>
      <c r="N11" s="21">
        <f>IF(OR($L11=1,AND($N10=1,$F11="R",$F10="R"),AND($N10=1,$F11="C",$M11=0),AND($N10=1,$F11="R",$L11=0)),1,0)</f>
        <v>0</v>
      </c>
      <c r="O11" s="21">
        <f t="shared" si="7"/>
        <v>16</v>
      </c>
      <c r="P11" s="28">
        <f t="shared" si="8"/>
        <v>1</v>
      </c>
      <c r="R11" s="21">
        <f t="shared" si="5"/>
        <v>0</v>
      </c>
      <c r="S11" s="21">
        <f t="shared" si="6"/>
        <v>0</v>
      </c>
      <c r="U11" s="21">
        <f t="shared" si="0"/>
        <v>3</v>
      </c>
    </row>
    <row r="12" spans="2:24" x14ac:dyDescent="0.25">
      <c r="B12" s="21">
        <v>9</v>
      </c>
      <c r="C12" s="27">
        <v>1</v>
      </c>
      <c r="D12" s="22" t="str">
        <f>_xlfn.IFNA(INDEX(ControlSetup!$C$3:$C$30,MATCH(Calculation!$C12,ControlSetup!$B$3:$B$30,0)),"")</f>
        <v>Red</v>
      </c>
      <c r="E12" s="21">
        <f>_xlfn.IFNA(INDEX(ControlSetup!D$3:$D$30,MATCH(Calculation!$C12,ControlSetup!$B$3:$B$30,0)),)</f>
        <v>1</v>
      </c>
      <c r="F12" s="21" t="str">
        <f>_xlfn.IFNA(INDEX(ControlSetup!$E$3:$E$30,MATCH(Calculation!$C12,ControlSetup!$B$3:$B$30,0)),"")</f>
        <v>R</v>
      </c>
      <c r="G12" s="21">
        <f t="shared" si="1"/>
        <v>1</v>
      </c>
      <c r="H12" s="21" t="str">
        <f t="shared" si="2"/>
        <v/>
      </c>
      <c r="J12" s="28">
        <f>IF(AND($P11=1,SUM(IF(FREQUENCY($G$4:$G11,$G$4:$G11)&gt;0,1))=10),2,1)</f>
        <v>1</v>
      </c>
      <c r="L12" s="21">
        <f>IF(AND($F12="R",$P11=1,COUNTIF($G$4:$G11,$C12)=0),1,0)</f>
        <v>1</v>
      </c>
      <c r="M12" s="21">
        <f>IF(AND($F12="C",$N11=1,COUNTIF($O$4:$O11,$C12)=0),1,0)</f>
        <v>0</v>
      </c>
      <c r="N12" s="21">
        <f t="shared" si="3"/>
        <v>1</v>
      </c>
      <c r="O12" s="21" t="str">
        <f t="shared" si="7"/>
        <v/>
      </c>
      <c r="P12" s="28">
        <f t="shared" si="8"/>
        <v>0</v>
      </c>
      <c r="R12" s="21">
        <f t="shared" si="5"/>
        <v>0</v>
      </c>
      <c r="S12" s="21">
        <f t="shared" si="6"/>
        <v>0</v>
      </c>
      <c r="U12" s="21">
        <f t="shared" si="0"/>
        <v>1</v>
      </c>
    </row>
    <row r="13" spans="2:24" x14ac:dyDescent="0.25">
      <c r="B13" s="21">
        <v>10</v>
      </c>
      <c r="C13" s="27">
        <v>21</v>
      </c>
      <c r="D13" s="22" t="str">
        <f>_xlfn.IFNA(INDEX(ControlSetup!$C$3:$C$30,MATCH(Calculation!$C13,ControlSetup!$B$3:$B$30,0)),"")</f>
        <v>Brown</v>
      </c>
      <c r="E13" s="21">
        <f>_xlfn.IFNA(INDEX(ControlSetup!D$3:$D$30,MATCH(Calculation!$C13,ControlSetup!$B$3:$B$30,0)),)</f>
        <v>4</v>
      </c>
      <c r="F13" s="21" t="str">
        <f>_xlfn.IFNA(INDEX(ControlSetup!$E$3:$E$30,MATCH(Calculation!$C13,ControlSetup!$B$3:$B$30,0)),"")</f>
        <v>C</v>
      </c>
      <c r="G13" s="21" t="str">
        <f t="shared" si="1"/>
        <v/>
      </c>
      <c r="H13" s="21">
        <f t="shared" si="2"/>
        <v>21</v>
      </c>
      <c r="J13" s="28">
        <f>IF(AND($P12=1,SUM(IF(FREQUENCY($G$4:$G12,$G$4:$G12)&gt;0,1))=10),2,1)</f>
        <v>1</v>
      </c>
      <c r="L13" s="21">
        <f>IF(AND($F13="R",$P12=1,COUNTIF($G$4:$G12,$C13)=0),1,0)</f>
        <v>0</v>
      </c>
      <c r="M13" s="21">
        <f>IF(AND($F13="C",$N12=1,COUNTIF($O$4:$O12,$C13)=0),1,0)</f>
        <v>1</v>
      </c>
      <c r="N13" s="21">
        <f t="shared" si="3"/>
        <v>0</v>
      </c>
      <c r="O13" s="21">
        <f t="shared" si="7"/>
        <v>21</v>
      </c>
      <c r="P13" s="28">
        <f t="shared" si="8"/>
        <v>1</v>
      </c>
      <c r="R13" s="21">
        <f t="shared" si="5"/>
        <v>0</v>
      </c>
      <c r="S13" s="21">
        <f t="shared" si="6"/>
        <v>0</v>
      </c>
      <c r="U13" s="21">
        <f t="shared" si="0"/>
        <v>4</v>
      </c>
    </row>
    <row r="14" spans="2:24" x14ac:dyDescent="0.25">
      <c r="B14" s="21">
        <v>11</v>
      </c>
      <c r="C14" s="27">
        <v>4</v>
      </c>
      <c r="D14" s="22" t="str">
        <f>_xlfn.IFNA(INDEX(ControlSetup!$C$3:$C$30,MATCH(Calculation!$C14,ControlSetup!$B$3:$B$30,0)),"")</f>
        <v>Red</v>
      </c>
      <c r="E14" s="21">
        <f>_xlfn.IFNA(INDEX(ControlSetup!D$3:$D$30,MATCH(Calculation!$C14,ControlSetup!$B$3:$B$30,0)),)</f>
        <v>1</v>
      </c>
      <c r="F14" s="21" t="str">
        <f>_xlfn.IFNA(INDEX(ControlSetup!$E$3:$E$30,MATCH(Calculation!$C14,ControlSetup!$B$3:$B$30,0)),"")</f>
        <v>R</v>
      </c>
      <c r="G14" s="21">
        <f t="shared" si="1"/>
        <v>4</v>
      </c>
      <c r="H14" s="21" t="str">
        <f t="shared" si="2"/>
        <v/>
      </c>
      <c r="J14" s="28">
        <f>IF(AND($P13=1,SUM(IF(FREQUENCY($G$4:$G13,$G$4:$G13)&gt;0,1))=10),2,1)</f>
        <v>1</v>
      </c>
      <c r="L14" s="21">
        <f>IF(AND($F14="R",$P13=1,COUNTIF($G$4:$G13,$C14)=0),1,0)</f>
        <v>1</v>
      </c>
      <c r="M14" s="21">
        <f>IF(AND($F14="C",$N13=1,COUNTIF($O$4:$O13,$C14)=0),1,0)</f>
        <v>0</v>
      </c>
      <c r="N14" s="21">
        <f t="shared" si="3"/>
        <v>1</v>
      </c>
      <c r="O14" s="21" t="str">
        <f t="shared" si="7"/>
        <v/>
      </c>
      <c r="P14" s="28">
        <f t="shared" si="8"/>
        <v>0</v>
      </c>
      <c r="R14" s="21">
        <f t="shared" si="5"/>
        <v>0</v>
      </c>
      <c r="S14" s="21">
        <f t="shared" si="6"/>
        <v>0</v>
      </c>
      <c r="U14" s="21">
        <f t="shared" si="0"/>
        <v>1</v>
      </c>
    </row>
    <row r="15" spans="2:24" x14ac:dyDescent="0.25">
      <c r="B15" s="21">
        <v>12</v>
      </c>
      <c r="C15" s="27">
        <v>28</v>
      </c>
      <c r="D15" s="22" t="str">
        <f>_xlfn.IFNA(INDEX(ControlSetup!$C$3:$C$30,MATCH(Calculation!$C15,ControlSetup!$B$3:$B$30,0)),"")</f>
        <v>Black</v>
      </c>
      <c r="E15" s="21">
        <f>_xlfn.IFNA(INDEX(ControlSetup!D$3:$D$30,MATCH(Calculation!$C15,ControlSetup!$B$3:$B$30,0)),)</f>
        <v>7</v>
      </c>
      <c r="F15" s="21" t="str">
        <f>_xlfn.IFNA(INDEX(ControlSetup!$E$3:$E$30,MATCH(Calculation!$C15,ControlSetup!$B$3:$B$30,0)),"")</f>
        <v>C</v>
      </c>
      <c r="G15" s="21" t="str">
        <f t="shared" si="1"/>
        <v/>
      </c>
      <c r="H15" s="21">
        <f t="shared" si="2"/>
        <v>28</v>
      </c>
      <c r="J15" s="28">
        <f>IF(AND($P14=1,SUM(IF(FREQUENCY($G$4:$G14,$G$4:$G14)&gt;0,1))=10),2,1)</f>
        <v>1</v>
      </c>
      <c r="L15" s="21">
        <f>IF(AND($F15="R",$P14=1,COUNTIF($G$4:$G14,$C15)=0),1,0)</f>
        <v>0</v>
      </c>
      <c r="M15" s="21">
        <f>IF(AND($F15="C",$N14=1,COUNTIF($O$4:$O14,$C15)=0),1,0)</f>
        <v>1</v>
      </c>
      <c r="N15" s="21">
        <f t="shared" si="3"/>
        <v>0</v>
      </c>
      <c r="O15" s="21">
        <f t="shared" si="7"/>
        <v>28</v>
      </c>
      <c r="P15" s="28">
        <f t="shared" si="8"/>
        <v>1</v>
      </c>
      <c r="R15" s="21">
        <f t="shared" si="5"/>
        <v>0</v>
      </c>
      <c r="S15" s="21">
        <f t="shared" si="6"/>
        <v>0</v>
      </c>
      <c r="U15" s="21">
        <f t="shared" si="0"/>
        <v>7</v>
      </c>
    </row>
    <row r="16" spans="2:24" x14ac:dyDescent="0.25">
      <c r="B16" s="21">
        <v>13</v>
      </c>
      <c r="C16" s="27"/>
      <c r="D16" s="22" t="str">
        <f>_xlfn.IFNA(INDEX(ControlSetup!$C$3:$C$30,MATCH(Calculation!$C16,ControlSetup!$B$3:$B$30,0)),"")</f>
        <v/>
      </c>
      <c r="E16" s="21">
        <f>_xlfn.IFNA(INDEX(ControlSetup!D$3:$D$30,MATCH(Calculation!$C16,ControlSetup!$B$3:$B$30,0)),)</f>
        <v>0</v>
      </c>
      <c r="F16" s="21" t="str">
        <f>_xlfn.IFNA(INDEX(ControlSetup!$E$3:$E$30,MATCH(Calculation!$C16,ControlSetup!$B$3:$B$30,0)),"")</f>
        <v/>
      </c>
      <c r="G16" s="21" t="str">
        <f t="shared" si="1"/>
        <v/>
      </c>
      <c r="H16" s="21" t="str">
        <f t="shared" si="2"/>
        <v/>
      </c>
      <c r="J16" s="28">
        <f>IF(AND($P15=1,SUM(IF(FREQUENCY($G$4:$G15,$G$4:$G15)&gt;0,1))=10),2,1)</f>
        <v>1</v>
      </c>
      <c r="L16" s="21">
        <f>IF(AND($F16="R",$P15=1,COUNTIF($G$4:$G15,$C16)=0),1,0)</f>
        <v>0</v>
      </c>
      <c r="M16" s="21">
        <f>IF(AND($F16="C",$N15=1,COUNTIF($O$4:$O15,$C16)=0),1,0)</f>
        <v>0</v>
      </c>
      <c r="N16" s="21">
        <f t="shared" si="3"/>
        <v>0</v>
      </c>
      <c r="O16" s="21" t="str">
        <f t="shared" si="7"/>
        <v/>
      </c>
      <c r="P16" s="28">
        <f t="shared" si="8"/>
        <v>0</v>
      </c>
      <c r="R16" s="21">
        <f t="shared" si="5"/>
        <v>0</v>
      </c>
      <c r="S16" s="21">
        <f t="shared" si="6"/>
        <v>0</v>
      </c>
      <c r="U16" s="21" t="str">
        <f t="shared" si="0"/>
        <v>-</v>
      </c>
    </row>
    <row r="17" spans="2:21" s="21" customFormat="1" x14ac:dyDescent="0.25">
      <c r="B17" s="21">
        <v>14</v>
      </c>
      <c r="C17" s="27"/>
      <c r="D17" s="22" t="str">
        <f>_xlfn.IFNA(INDEX(ControlSetup!$C$3:$C$30,MATCH(Calculation!$C17,ControlSetup!$B$3:$B$30,0)),"")</f>
        <v/>
      </c>
      <c r="E17" s="21">
        <f>_xlfn.IFNA(INDEX(ControlSetup!D$3:$D$30,MATCH(Calculation!$C17,ControlSetup!$B$3:$B$30,0)),)</f>
        <v>0</v>
      </c>
      <c r="F17" s="21" t="str">
        <f>_xlfn.IFNA(INDEX(ControlSetup!$E$3:$E$30,MATCH(Calculation!$C17,ControlSetup!$B$3:$B$30,0)),"")</f>
        <v/>
      </c>
      <c r="G17" s="21" t="str">
        <f t="shared" si="1"/>
        <v/>
      </c>
      <c r="H17" s="21" t="str">
        <f t="shared" si="2"/>
        <v/>
      </c>
      <c r="J17" s="28">
        <f>IF(AND($P16=1,SUM(IF(FREQUENCY($G$4:$G16,$G$4:$G16)&gt;0,1))=10),2,1)</f>
        <v>1</v>
      </c>
      <c r="L17" s="21">
        <f>IF(AND($F17="R",$P16=1,COUNTIF($G$4:$G16,$C17)=0),1,0)</f>
        <v>0</v>
      </c>
      <c r="M17" s="21">
        <f>IF(AND($F17="C",$N16=1,COUNTIF($O$4:$O16,$C17)=0),1,0)</f>
        <v>0</v>
      </c>
      <c r="N17" s="21">
        <f t="shared" si="3"/>
        <v>0</v>
      </c>
      <c r="O17" s="21" t="str">
        <f t="shared" si="7"/>
        <v/>
      </c>
      <c r="P17" s="28">
        <f t="shared" si="8"/>
        <v>0</v>
      </c>
      <c r="R17" s="21">
        <f t="shared" si="5"/>
        <v>0</v>
      </c>
      <c r="S17" s="21">
        <f t="shared" si="6"/>
        <v>0</v>
      </c>
      <c r="U17" s="21" t="str">
        <f t="shared" si="0"/>
        <v>-</v>
      </c>
    </row>
    <row r="18" spans="2:21" s="21" customFormat="1" x14ac:dyDescent="0.25">
      <c r="B18" s="21">
        <v>15</v>
      </c>
      <c r="C18" s="27"/>
      <c r="D18" s="22" t="str">
        <f>_xlfn.IFNA(INDEX(ControlSetup!$C$3:$C$30,MATCH(Calculation!$C18,ControlSetup!$B$3:$B$30,0)),"")</f>
        <v/>
      </c>
      <c r="E18" s="21">
        <f>_xlfn.IFNA(INDEX(ControlSetup!D$3:$D$30,MATCH(Calculation!$C18,ControlSetup!$B$3:$B$30,0)),)</f>
        <v>0</v>
      </c>
      <c r="F18" s="21" t="str">
        <f>_xlfn.IFNA(INDEX(ControlSetup!$E$3:$E$30,MATCH(Calculation!$C18,ControlSetup!$B$3:$B$30,0)),"")</f>
        <v/>
      </c>
      <c r="G18" s="21" t="str">
        <f t="shared" si="1"/>
        <v/>
      </c>
      <c r="H18" s="21" t="str">
        <f t="shared" si="2"/>
        <v/>
      </c>
      <c r="J18" s="28">
        <f>IF(AND($P17=1,SUM(IF(FREQUENCY($G$4:$G17,$G$4:$G17)&gt;0,1))=10),2,1)</f>
        <v>1</v>
      </c>
      <c r="L18" s="21">
        <f>IF(AND($F18="R",$P17=1,COUNTIF($G$4:$G17,$C18)=0),1,0)</f>
        <v>0</v>
      </c>
      <c r="M18" s="21">
        <f>IF(AND($F18="C",$N17=1,COUNTIF($O$4:$O17,$C18)=0),1,0)</f>
        <v>0</v>
      </c>
      <c r="N18" s="21">
        <f t="shared" si="3"/>
        <v>0</v>
      </c>
      <c r="O18" s="21" t="str">
        <f t="shared" si="7"/>
        <v/>
      </c>
      <c r="P18" s="28">
        <f t="shared" si="8"/>
        <v>0</v>
      </c>
      <c r="R18" s="21">
        <f t="shared" si="5"/>
        <v>0</v>
      </c>
      <c r="S18" s="21">
        <f t="shared" si="6"/>
        <v>0</v>
      </c>
      <c r="U18" s="21" t="str">
        <f t="shared" si="0"/>
        <v>-</v>
      </c>
    </row>
    <row r="19" spans="2:21" s="21" customFormat="1" x14ac:dyDescent="0.25">
      <c r="B19" s="21">
        <v>16</v>
      </c>
      <c r="C19" s="27"/>
      <c r="D19" s="22" t="str">
        <f>_xlfn.IFNA(INDEX(ControlSetup!$C$3:$C$30,MATCH(Calculation!$C19,ControlSetup!$B$3:$B$30,0)),"")</f>
        <v/>
      </c>
      <c r="E19" s="21">
        <f>_xlfn.IFNA(INDEX(ControlSetup!D$3:$D$30,MATCH(Calculation!$C19,ControlSetup!$B$3:$B$30,0)),)</f>
        <v>0</v>
      </c>
      <c r="F19" s="21" t="str">
        <f>_xlfn.IFNA(INDEX(ControlSetup!$E$3:$E$30,MATCH(Calculation!$C19,ControlSetup!$B$3:$B$30,0)),"")</f>
        <v/>
      </c>
      <c r="G19" s="21" t="str">
        <f t="shared" si="1"/>
        <v/>
      </c>
      <c r="H19" s="21" t="str">
        <f t="shared" si="2"/>
        <v/>
      </c>
      <c r="J19" s="28">
        <f>IF(AND($P18=1,SUM(IF(FREQUENCY($G$4:$G18,$G$4:$G18)&gt;0,1))=10),2,1)</f>
        <v>1</v>
      </c>
      <c r="L19" s="21">
        <f>IF(AND($F19="R",$P18=1,COUNTIF($G$4:$G18,$C19)=0),1,0)</f>
        <v>0</v>
      </c>
      <c r="M19" s="21">
        <f>IF(AND($F19="C",$N18=1,COUNTIF($O$4:$O18,$C19)=0),1,0)</f>
        <v>0</v>
      </c>
      <c r="N19" s="21">
        <f t="shared" si="3"/>
        <v>0</v>
      </c>
      <c r="O19" s="21" t="str">
        <f t="shared" si="7"/>
        <v/>
      </c>
      <c r="P19" s="28">
        <f t="shared" si="8"/>
        <v>0</v>
      </c>
      <c r="R19" s="21">
        <f t="shared" si="5"/>
        <v>0</v>
      </c>
      <c r="S19" s="21">
        <f t="shared" si="6"/>
        <v>0</v>
      </c>
      <c r="U19" s="21" t="str">
        <f t="shared" si="0"/>
        <v>-</v>
      </c>
    </row>
    <row r="20" spans="2:21" s="21" customFormat="1" x14ac:dyDescent="0.25">
      <c r="B20" s="21">
        <v>17</v>
      </c>
      <c r="C20" s="27"/>
      <c r="D20" s="22" t="str">
        <f>_xlfn.IFNA(INDEX(ControlSetup!$C$3:$C$30,MATCH(Calculation!$C20,ControlSetup!$B$3:$B$30,0)),"")</f>
        <v/>
      </c>
      <c r="E20" s="21">
        <f>_xlfn.IFNA(INDEX(ControlSetup!D$3:$D$30,MATCH(Calculation!$C20,ControlSetup!$B$3:$B$30,0)),)</f>
        <v>0</v>
      </c>
      <c r="F20" s="21" t="str">
        <f>_xlfn.IFNA(INDEX(ControlSetup!$E$3:$E$30,MATCH(Calculation!$C20,ControlSetup!$B$3:$B$30,0)),"")</f>
        <v/>
      </c>
      <c r="G20" s="21" t="str">
        <f t="shared" si="1"/>
        <v/>
      </c>
      <c r="H20" s="21" t="str">
        <f t="shared" si="2"/>
        <v/>
      </c>
      <c r="J20" s="28">
        <f>IF(AND($P19=1,SUM(IF(FREQUENCY($G$4:$G19,$G$4:$G19)&gt;0,1))=10),2,1)</f>
        <v>1</v>
      </c>
      <c r="L20" s="21">
        <f>IF(AND($F20="R",$P19=1,COUNTIF($G$4:$G19,$C20)=0),1,0)</f>
        <v>0</v>
      </c>
      <c r="M20" s="21">
        <f>IF(AND($F20="C",$N19=1,COUNTIF($O$4:$O19,$C20)=0),1,0)</f>
        <v>0</v>
      </c>
      <c r="N20" s="21">
        <f t="shared" si="3"/>
        <v>0</v>
      </c>
      <c r="O20" s="21" t="str">
        <f t="shared" si="7"/>
        <v/>
      </c>
      <c r="P20" s="28">
        <f t="shared" si="8"/>
        <v>0</v>
      </c>
      <c r="R20" s="21">
        <f t="shared" si="5"/>
        <v>0</v>
      </c>
      <c r="S20" s="21">
        <f t="shared" si="6"/>
        <v>0</v>
      </c>
      <c r="U20" s="21" t="str">
        <f t="shared" si="0"/>
        <v>-</v>
      </c>
    </row>
    <row r="21" spans="2:21" s="21" customFormat="1" x14ac:dyDescent="0.25">
      <c r="B21" s="21">
        <v>18</v>
      </c>
      <c r="C21" s="27"/>
      <c r="D21" s="22" t="str">
        <f>_xlfn.IFNA(INDEX(ControlSetup!$C$3:$C$30,MATCH(Calculation!$C21,ControlSetup!$B$3:$B$30,0)),"")</f>
        <v/>
      </c>
      <c r="E21" s="21">
        <f>_xlfn.IFNA(INDEX(ControlSetup!D$3:$D$30,MATCH(Calculation!$C21,ControlSetup!$B$3:$B$30,0)),)</f>
        <v>0</v>
      </c>
      <c r="F21" s="21" t="str">
        <f>_xlfn.IFNA(INDEX(ControlSetup!$E$3:$E$30,MATCH(Calculation!$C21,ControlSetup!$B$3:$B$30,0)),"")</f>
        <v/>
      </c>
      <c r="G21" s="21" t="str">
        <f t="shared" si="1"/>
        <v/>
      </c>
      <c r="H21" s="21" t="str">
        <f t="shared" si="2"/>
        <v/>
      </c>
      <c r="J21" s="28">
        <f>IF(AND($P20=1,SUM(IF(FREQUENCY($G$4:$G20,$G$4:$G20)&gt;0,1))=10),2,1)</f>
        <v>1</v>
      </c>
      <c r="L21" s="21">
        <f>IF(AND($F21="R",$P20=1,COUNTIF($G$4:$G20,$C21)=0),1,0)</f>
        <v>0</v>
      </c>
      <c r="M21" s="21">
        <f>IF(AND($F21="C",$N20=1,COUNTIF($O$4:$O20,$C21)=0),1,0)</f>
        <v>0</v>
      </c>
      <c r="N21" s="21">
        <f t="shared" si="3"/>
        <v>0</v>
      </c>
      <c r="O21" s="21" t="str">
        <f t="shared" si="7"/>
        <v/>
      </c>
      <c r="P21" s="28">
        <f t="shared" si="8"/>
        <v>0</v>
      </c>
      <c r="R21" s="21">
        <f t="shared" si="5"/>
        <v>0</v>
      </c>
      <c r="S21" s="21">
        <f t="shared" si="6"/>
        <v>0</v>
      </c>
      <c r="U21" s="21" t="str">
        <f t="shared" si="0"/>
        <v>-</v>
      </c>
    </row>
    <row r="22" spans="2:21" s="21" customFormat="1" x14ac:dyDescent="0.25">
      <c r="B22" s="21">
        <v>19</v>
      </c>
      <c r="C22" s="27"/>
      <c r="D22" s="22" t="str">
        <f>_xlfn.IFNA(INDEX(ControlSetup!$C$3:$C$30,MATCH(Calculation!$C22,ControlSetup!$B$3:$B$30,0)),"")</f>
        <v/>
      </c>
      <c r="E22" s="21">
        <f>_xlfn.IFNA(INDEX(ControlSetup!D$3:$D$30,MATCH(Calculation!$C22,ControlSetup!$B$3:$B$30,0)),)</f>
        <v>0</v>
      </c>
      <c r="F22" s="21" t="str">
        <f>_xlfn.IFNA(INDEX(ControlSetup!$E$3:$E$30,MATCH(Calculation!$C22,ControlSetup!$B$3:$B$30,0)),"")</f>
        <v/>
      </c>
      <c r="G22" s="21" t="str">
        <f t="shared" si="1"/>
        <v/>
      </c>
      <c r="H22" s="21" t="str">
        <f t="shared" si="2"/>
        <v/>
      </c>
      <c r="J22" s="28">
        <f>IF(AND($P21=1,SUM(IF(FREQUENCY($G$4:$G21,$G$4:$G21)&gt;0,1))=10),2,1)</f>
        <v>1</v>
      </c>
      <c r="L22" s="21">
        <f>IF(AND($F22="R",$P21=1,COUNTIF($G$4:$G21,$C22)=0),1,0)</f>
        <v>0</v>
      </c>
      <c r="M22" s="21">
        <f>IF(AND($F22="C",$N21=1,COUNTIF($O$4:$O21,$C22)=0),1,0)</f>
        <v>0</v>
      </c>
      <c r="N22" s="21">
        <f t="shared" si="3"/>
        <v>0</v>
      </c>
      <c r="O22" s="21" t="str">
        <f t="shared" si="7"/>
        <v/>
      </c>
      <c r="P22" s="28">
        <f t="shared" si="8"/>
        <v>0</v>
      </c>
      <c r="R22" s="21">
        <f t="shared" si="5"/>
        <v>0</v>
      </c>
      <c r="S22" s="21">
        <f t="shared" si="6"/>
        <v>0</v>
      </c>
      <c r="U22" s="21" t="str">
        <f t="shared" si="0"/>
        <v>-</v>
      </c>
    </row>
    <row r="23" spans="2:21" s="21" customFormat="1" x14ac:dyDescent="0.25">
      <c r="B23" s="21">
        <v>20</v>
      </c>
      <c r="C23" s="27"/>
      <c r="D23" s="22" t="str">
        <f>_xlfn.IFNA(INDEX(ControlSetup!$C$3:$C$30,MATCH(Calculation!$C23,ControlSetup!$B$3:$B$30,0)),"")</f>
        <v/>
      </c>
      <c r="E23" s="21">
        <f>_xlfn.IFNA(INDEX(ControlSetup!D$3:$D$30,MATCH(Calculation!$C23,ControlSetup!$B$3:$B$30,0)),)</f>
        <v>0</v>
      </c>
      <c r="F23" s="21" t="str">
        <f>_xlfn.IFNA(INDEX(ControlSetup!$E$3:$E$30,MATCH(Calculation!$C23,ControlSetup!$B$3:$B$30,0)),"")</f>
        <v/>
      </c>
      <c r="G23" s="21" t="str">
        <f t="shared" si="1"/>
        <v/>
      </c>
      <c r="H23" s="21" t="str">
        <f t="shared" si="2"/>
        <v/>
      </c>
      <c r="J23" s="28">
        <f>IF(AND($P22=1,SUM(IF(FREQUENCY($G$4:$G22,$G$4:$G22)&gt;0,1))=10),2,1)</f>
        <v>1</v>
      </c>
      <c r="L23" s="21">
        <f>IF(AND($F23="R",$P22=1,COUNTIF($G$4:$G22,$C23)=0),1,0)</f>
        <v>0</v>
      </c>
      <c r="M23" s="21">
        <f>IF(AND($F23="C",$N22=1,COUNTIF($O$4:$O22,$C23)=0),1,0)</f>
        <v>0</v>
      </c>
      <c r="N23" s="21">
        <f t="shared" si="3"/>
        <v>0</v>
      </c>
      <c r="O23" s="21" t="str">
        <f t="shared" si="7"/>
        <v/>
      </c>
      <c r="P23" s="28">
        <f t="shared" si="8"/>
        <v>0</v>
      </c>
      <c r="R23" s="21">
        <f t="shared" si="5"/>
        <v>0</v>
      </c>
      <c r="S23" s="21">
        <f t="shared" si="6"/>
        <v>0</v>
      </c>
      <c r="U23" s="21" t="str">
        <f t="shared" si="0"/>
        <v>-</v>
      </c>
    </row>
    <row r="24" spans="2:21" s="21" customFormat="1" x14ac:dyDescent="0.25">
      <c r="B24" s="21">
        <v>21</v>
      </c>
      <c r="C24" s="27"/>
      <c r="D24" s="22" t="str">
        <f>_xlfn.IFNA(INDEX(ControlSetup!$C$3:$C$30,MATCH(Calculation!$C24,ControlSetup!$B$3:$B$30,0)),"")</f>
        <v/>
      </c>
      <c r="E24" s="21">
        <f>_xlfn.IFNA(INDEX(ControlSetup!D$3:$D$30,MATCH(Calculation!$C24,ControlSetup!$B$3:$B$30,0)),)</f>
        <v>0</v>
      </c>
      <c r="F24" s="21" t="str">
        <f>_xlfn.IFNA(INDEX(ControlSetup!$E$3:$E$30,MATCH(Calculation!$C24,ControlSetup!$B$3:$B$30,0)),"")</f>
        <v/>
      </c>
      <c r="G24" s="21" t="str">
        <f t="shared" si="1"/>
        <v/>
      </c>
      <c r="H24" s="21" t="str">
        <f t="shared" si="2"/>
        <v/>
      </c>
      <c r="J24" s="28">
        <f>IF(AND($P23=1,SUM(IF(FREQUENCY($G$4:$G23,$G$4:$G23)&gt;0,1))=10),2,1)</f>
        <v>1</v>
      </c>
      <c r="L24" s="21">
        <f>IF(AND($F24="R",$P23=1,COUNTIF($G$4:$G23,$C24)=0),1,0)</f>
        <v>0</v>
      </c>
      <c r="M24" s="21">
        <f>IF(AND($F24="C",$N23=1,COUNTIF($O$4:$O23,$C24)=0),1,0)</f>
        <v>0</v>
      </c>
      <c r="N24" s="21">
        <f t="shared" si="3"/>
        <v>0</v>
      </c>
      <c r="O24" s="21" t="str">
        <f t="shared" si="7"/>
        <v/>
      </c>
      <c r="P24" s="28">
        <f t="shared" si="8"/>
        <v>0</v>
      </c>
      <c r="R24" s="21">
        <f t="shared" si="5"/>
        <v>0</v>
      </c>
      <c r="S24" s="21">
        <f t="shared" si="6"/>
        <v>0</v>
      </c>
      <c r="U24" s="21" t="str">
        <f t="shared" si="0"/>
        <v>-</v>
      </c>
    </row>
    <row r="25" spans="2:21" s="21" customFormat="1" x14ac:dyDescent="0.25">
      <c r="B25" s="21">
        <v>22</v>
      </c>
      <c r="C25" s="27"/>
      <c r="D25" s="22" t="str">
        <f>_xlfn.IFNA(INDEX(ControlSetup!$C$3:$C$30,MATCH(Calculation!$C25,ControlSetup!$B$3:$B$30,0)),"")</f>
        <v/>
      </c>
      <c r="E25" s="21">
        <f>_xlfn.IFNA(INDEX(ControlSetup!D$3:$D$30,MATCH(Calculation!$C25,ControlSetup!$B$3:$B$30,0)),)</f>
        <v>0</v>
      </c>
      <c r="F25" s="21" t="str">
        <f>_xlfn.IFNA(INDEX(ControlSetup!$E$3:$E$30,MATCH(Calculation!$C25,ControlSetup!$B$3:$B$30,0)),"")</f>
        <v/>
      </c>
      <c r="G25" s="21" t="str">
        <f t="shared" si="1"/>
        <v/>
      </c>
      <c r="H25" s="21" t="str">
        <f t="shared" si="2"/>
        <v/>
      </c>
      <c r="J25" s="28">
        <f>IF(AND($P24=1,SUM(IF(FREQUENCY($G$4:$G24,$G$4:$G24)&gt;0,1))=10),2,1)</f>
        <v>1</v>
      </c>
      <c r="L25" s="21">
        <f>IF(AND($F25="R",$P24=1,COUNTIF($G$4:$G24,$C25)=0),1,0)</f>
        <v>0</v>
      </c>
      <c r="M25" s="21">
        <f>IF(AND($F25="C",$N24=1,COUNTIF($O$4:$O24,$C25)=0),1,0)</f>
        <v>0</v>
      </c>
      <c r="N25" s="21">
        <f t="shared" si="3"/>
        <v>0</v>
      </c>
      <c r="O25" s="21" t="str">
        <f t="shared" si="7"/>
        <v/>
      </c>
      <c r="P25" s="28">
        <f t="shared" si="8"/>
        <v>0</v>
      </c>
      <c r="R25" s="21">
        <f t="shared" si="5"/>
        <v>0</v>
      </c>
      <c r="S25" s="21">
        <f t="shared" si="6"/>
        <v>0</v>
      </c>
      <c r="U25" s="21" t="str">
        <f t="shared" si="0"/>
        <v>-</v>
      </c>
    </row>
    <row r="26" spans="2:21" s="21" customFormat="1" x14ac:dyDescent="0.25">
      <c r="B26" s="21">
        <v>23</v>
      </c>
      <c r="C26" s="27"/>
      <c r="D26" s="22" t="str">
        <f>_xlfn.IFNA(INDEX(ControlSetup!$C$3:$C$30,MATCH(Calculation!$C26,ControlSetup!$B$3:$B$30,0)),"")</f>
        <v/>
      </c>
      <c r="E26" s="21">
        <f>_xlfn.IFNA(INDEX(ControlSetup!D$3:$D$30,MATCH(Calculation!$C26,ControlSetup!$B$3:$B$30,0)),)</f>
        <v>0</v>
      </c>
      <c r="F26" s="21" t="str">
        <f>_xlfn.IFNA(INDEX(ControlSetup!$E$3:$E$30,MATCH(Calculation!$C26,ControlSetup!$B$3:$B$30,0)),"")</f>
        <v/>
      </c>
      <c r="G26" s="21" t="str">
        <f t="shared" si="1"/>
        <v/>
      </c>
      <c r="H26" s="21" t="str">
        <f t="shared" si="2"/>
        <v/>
      </c>
      <c r="J26" s="28">
        <f>IF(AND($P25=1,SUM(IF(FREQUENCY($G$4:$G25,$G$4:$G25)&gt;0,1))=10),2,1)</f>
        <v>1</v>
      </c>
      <c r="L26" s="21">
        <f>IF(AND($F26="R",$P25=1,COUNTIF($G$4:$G25,$C26)=0),1,0)</f>
        <v>0</v>
      </c>
      <c r="M26" s="21">
        <f>IF(AND($F26="C",$N25=1,COUNTIF($O$4:$O25,$C26)=0),1,0)</f>
        <v>0</v>
      </c>
      <c r="N26" s="21">
        <f t="shared" si="3"/>
        <v>0</v>
      </c>
      <c r="O26" s="21" t="str">
        <f t="shared" si="7"/>
        <v/>
      </c>
      <c r="P26" s="28">
        <f t="shared" si="8"/>
        <v>0</v>
      </c>
      <c r="R26" s="21">
        <f t="shared" si="5"/>
        <v>0</v>
      </c>
      <c r="S26" s="21">
        <f t="shared" si="6"/>
        <v>0</v>
      </c>
      <c r="U26" s="21" t="str">
        <f t="shared" si="0"/>
        <v>-</v>
      </c>
    </row>
    <row r="27" spans="2:21" s="21" customFormat="1" x14ac:dyDescent="0.25">
      <c r="B27" s="21">
        <v>24</v>
      </c>
      <c r="C27" s="27"/>
      <c r="D27" s="22" t="str">
        <f>_xlfn.IFNA(INDEX(ControlSetup!$C$3:$C$30,MATCH(Calculation!$C27,ControlSetup!$B$3:$B$30,0)),"")</f>
        <v/>
      </c>
      <c r="E27" s="21">
        <f>_xlfn.IFNA(INDEX(ControlSetup!D$3:$D$30,MATCH(Calculation!$C27,ControlSetup!$B$3:$B$30,0)),)</f>
        <v>0</v>
      </c>
      <c r="F27" s="21" t="str">
        <f>_xlfn.IFNA(INDEX(ControlSetup!$E$3:$E$30,MATCH(Calculation!$C27,ControlSetup!$B$3:$B$30,0)),"")</f>
        <v/>
      </c>
      <c r="G27" s="21" t="str">
        <f t="shared" si="1"/>
        <v/>
      </c>
      <c r="H27" s="21" t="str">
        <f t="shared" si="2"/>
        <v/>
      </c>
      <c r="J27" s="28">
        <f>IF(AND($P26=1,SUM(IF(FREQUENCY($G$4:$G26,$G$4:$G26)&gt;0,1))=10),2,1)</f>
        <v>1</v>
      </c>
      <c r="L27" s="21">
        <f>IF(AND($F27="R",$P26=1,COUNTIF($G$4:$G26,$C27)=0),1,0)</f>
        <v>0</v>
      </c>
      <c r="M27" s="21">
        <f>IF(AND($F27="C",$N26=1,COUNTIF($O$4:$O26,$C27)=0),1,0)</f>
        <v>0</v>
      </c>
      <c r="N27" s="21">
        <f t="shared" si="3"/>
        <v>0</v>
      </c>
      <c r="O27" s="21" t="str">
        <f t="shared" si="7"/>
        <v/>
      </c>
      <c r="P27" s="28">
        <f t="shared" si="8"/>
        <v>0</v>
      </c>
      <c r="R27" s="21">
        <f>IF(AND($J27=2,OR(AND($E27=2,$C27&lt;&gt;$C26),AND($F27="C",$E27=$S26+1))),1,0)</f>
        <v>0</v>
      </c>
      <c r="S27" s="21">
        <f t="shared" ref="S27:S38" si="9">IF(R27=1,E27,S26)</f>
        <v>0</v>
      </c>
      <c r="U27" s="21" t="str">
        <f t="shared" si="0"/>
        <v>-</v>
      </c>
    </row>
    <row r="28" spans="2:21" s="21" customFormat="1" x14ac:dyDescent="0.25">
      <c r="B28" s="21">
        <v>25</v>
      </c>
      <c r="C28" s="27"/>
      <c r="D28" s="22" t="str">
        <f>_xlfn.IFNA(INDEX(ControlSetup!$C$3:$C$30,MATCH(Calculation!$C28,ControlSetup!$B$3:$B$30,0)),"")</f>
        <v/>
      </c>
      <c r="E28" s="21">
        <f>_xlfn.IFNA(INDEX(ControlSetup!D$3:$D$30,MATCH(Calculation!$C28,ControlSetup!$B$3:$B$30,0)),)</f>
        <v>0</v>
      </c>
      <c r="F28" s="21" t="str">
        <f>_xlfn.IFNA(INDEX(ControlSetup!$E$3:$E$30,MATCH(Calculation!$C28,ControlSetup!$B$3:$B$30,0)),"")</f>
        <v/>
      </c>
      <c r="G28" s="21" t="str">
        <f t="shared" si="1"/>
        <v/>
      </c>
      <c r="H28" s="21" t="str">
        <f t="shared" si="2"/>
        <v/>
      </c>
      <c r="J28" s="28">
        <f>IF(AND($P27=1,SUM(IF(FREQUENCY($G$4:$G27,$G$4:$G27)&gt;0,1))=10),2,1)</f>
        <v>1</v>
      </c>
      <c r="L28" s="21">
        <f>IF(AND($F28="R",$P27=1,COUNTIF($G$4:$G27,$C28)=0),1,0)</f>
        <v>0</v>
      </c>
      <c r="M28" s="21">
        <f>IF(AND($F28="C",$N27=1,COUNTIF($O$4:$O27,$C28)=0),1,0)</f>
        <v>0</v>
      </c>
      <c r="N28" s="21">
        <f t="shared" si="3"/>
        <v>0</v>
      </c>
      <c r="O28" s="21" t="str">
        <f t="shared" si="7"/>
        <v/>
      </c>
      <c r="P28" s="28">
        <f t="shared" si="8"/>
        <v>0</v>
      </c>
      <c r="R28" s="21">
        <f t="shared" ref="R28:R38" si="10">IF(AND($J28=2,OR(AND($E28=2,$C28&lt;&gt;$C27),AND($F28="C",$E28=$S27+1))),1,0)</f>
        <v>0</v>
      </c>
      <c r="S28" s="21">
        <f t="shared" si="9"/>
        <v>0</v>
      </c>
      <c r="U28" s="21" t="str">
        <f t="shared" si="0"/>
        <v>-</v>
      </c>
    </row>
    <row r="29" spans="2:21" s="21" customFormat="1" x14ac:dyDescent="0.25">
      <c r="B29" s="21">
        <v>26</v>
      </c>
      <c r="C29" s="27"/>
      <c r="D29" s="22" t="str">
        <f>_xlfn.IFNA(INDEX(ControlSetup!$C$3:$C$30,MATCH(Calculation!$C29,ControlSetup!$B$3:$B$30,0)),"")</f>
        <v/>
      </c>
      <c r="E29" s="21">
        <f>_xlfn.IFNA(INDEX(ControlSetup!D$3:$D$30,MATCH(Calculation!$C29,ControlSetup!$B$3:$B$30,0)),)</f>
        <v>0</v>
      </c>
      <c r="F29" s="21" t="str">
        <f>_xlfn.IFNA(INDEX(ControlSetup!$E$3:$E$30,MATCH(Calculation!$C29,ControlSetup!$B$3:$B$30,0)),"")</f>
        <v/>
      </c>
      <c r="G29" s="21" t="str">
        <f t="shared" si="1"/>
        <v/>
      </c>
      <c r="H29" s="21" t="str">
        <f t="shared" si="2"/>
        <v/>
      </c>
      <c r="J29" s="28">
        <f>IF(AND($P28=1,SUM(IF(FREQUENCY($G$4:$G28,$G$4:$G28)&gt;0,1))=10),2,1)</f>
        <v>1</v>
      </c>
      <c r="L29" s="21">
        <f>IF(AND($F29="R",$P28=1,COUNTIF($G$4:$G28,$C29)=0),1,0)</f>
        <v>0</v>
      </c>
      <c r="M29" s="21">
        <f>IF(AND($F29="C",$N28=1,COUNTIF($O$4:$O28,$C29)=0),1,0)</f>
        <v>0</v>
      </c>
      <c r="N29" s="21">
        <f t="shared" si="3"/>
        <v>0</v>
      </c>
      <c r="O29" s="21" t="str">
        <f t="shared" si="7"/>
        <v/>
      </c>
      <c r="P29" s="28">
        <f t="shared" si="8"/>
        <v>0</v>
      </c>
      <c r="R29" s="21">
        <f t="shared" si="10"/>
        <v>0</v>
      </c>
      <c r="S29" s="21">
        <f t="shared" si="9"/>
        <v>0</v>
      </c>
      <c r="U29" s="21" t="str">
        <f t="shared" si="0"/>
        <v>-</v>
      </c>
    </row>
    <row r="30" spans="2:21" s="21" customFormat="1" x14ac:dyDescent="0.25">
      <c r="B30" s="21">
        <v>27</v>
      </c>
      <c r="C30" s="27"/>
      <c r="D30" s="22" t="str">
        <f>_xlfn.IFNA(INDEX(ControlSetup!$C$3:$C$30,MATCH(Calculation!$C30,ControlSetup!$B$3:$B$30,0)),"")</f>
        <v/>
      </c>
      <c r="E30" s="21">
        <f>_xlfn.IFNA(INDEX(ControlSetup!D$3:$D$30,MATCH(Calculation!$C30,ControlSetup!$B$3:$B$30,0)),)</f>
        <v>0</v>
      </c>
      <c r="F30" s="21" t="str">
        <f>_xlfn.IFNA(INDEX(ControlSetup!$E$3:$E$30,MATCH(Calculation!$C30,ControlSetup!$B$3:$B$30,0)),"")</f>
        <v/>
      </c>
      <c r="G30" s="21" t="str">
        <f t="shared" si="1"/>
        <v/>
      </c>
      <c r="H30" s="21" t="str">
        <f t="shared" si="2"/>
        <v/>
      </c>
      <c r="J30" s="28">
        <f>IF(AND($P29=1,SUM(IF(FREQUENCY($G$4:$G29,$G$4:$G29)&gt;0,1))=10),2,1)</f>
        <v>1</v>
      </c>
      <c r="L30" s="21">
        <f>IF(AND($F30="R",$P29=1,COUNTIF($G$4:$G29,$C30)=0),1,0)</f>
        <v>0</v>
      </c>
      <c r="M30" s="21">
        <f>IF(AND($F30="C",$N29=1,COUNTIF($O$4:$O29,$C30)=0),1,0)</f>
        <v>0</v>
      </c>
      <c r="N30" s="21">
        <f t="shared" si="3"/>
        <v>0</v>
      </c>
      <c r="O30" s="21" t="str">
        <f t="shared" si="7"/>
        <v/>
      </c>
      <c r="P30" s="28">
        <f t="shared" si="8"/>
        <v>0</v>
      </c>
      <c r="R30" s="21">
        <f t="shared" si="10"/>
        <v>0</v>
      </c>
      <c r="S30" s="21">
        <f t="shared" si="9"/>
        <v>0</v>
      </c>
      <c r="U30" s="21" t="str">
        <f t="shared" si="0"/>
        <v>-</v>
      </c>
    </row>
    <row r="31" spans="2:21" x14ac:dyDescent="0.25">
      <c r="B31" s="21">
        <v>28</v>
      </c>
      <c r="C31" s="27"/>
      <c r="D31" s="22" t="str">
        <f>_xlfn.IFNA(INDEX(ControlSetup!$C$3:$C$30,MATCH(Calculation!$C31,ControlSetup!$B$3:$B$30,0)),"")</f>
        <v/>
      </c>
      <c r="E31" s="21">
        <f>_xlfn.IFNA(INDEX(ControlSetup!D$3:$D$30,MATCH(Calculation!$C31,ControlSetup!$B$3:$B$30,0)),)</f>
        <v>0</v>
      </c>
      <c r="F31" s="21" t="str">
        <f>_xlfn.IFNA(INDEX(ControlSetup!$E$3:$E$30,MATCH(Calculation!$C31,ControlSetup!$B$3:$B$30,0)),"")</f>
        <v/>
      </c>
      <c r="G31" s="21" t="str">
        <f t="shared" si="1"/>
        <v/>
      </c>
      <c r="H31" s="21" t="str">
        <f t="shared" si="2"/>
        <v/>
      </c>
      <c r="J31" s="28">
        <f>IF(AND($P30=1,SUM(IF(FREQUENCY($G$4:$G30,$G$4:$G30)&gt;0,1))=10),2,1)</f>
        <v>1</v>
      </c>
      <c r="L31" s="21">
        <f>IF(AND($F31="R",$P30=1,COUNTIF($G$4:$G30,$C31)=0),1,0)</f>
        <v>0</v>
      </c>
      <c r="M31" s="21">
        <f>IF(AND($F31="C",$N30=1,COUNTIF($O$4:$O30,$C31)=0),1,0)</f>
        <v>0</v>
      </c>
      <c r="N31" s="21">
        <f t="shared" si="3"/>
        <v>0</v>
      </c>
      <c r="O31" s="21" t="str">
        <f t="shared" si="7"/>
        <v/>
      </c>
      <c r="P31" s="28">
        <f t="shared" si="8"/>
        <v>0</v>
      </c>
      <c r="R31" s="21">
        <f t="shared" si="10"/>
        <v>0</v>
      </c>
      <c r="S31" s="21">
        <f t="shared" si="9"/>
        <v>0</v>
      </c>
      <c r="U31" s="21" t="str">
        <f t="shared" si="0"/>
        <v>-</v>
      </c>
    </row>
    <row r="32" spans="2:21" x14ac:dyDescent="0.25">
      <c r="B32" s="21">
        <v>29</v>
      </c>
      <c r="C32" s="27"/>
      <c r="D32" s="22" t="str">
        <f>_xlfn.IFNA(INDEX(ControlSetup!$C$3:$C$30,MATCH(Calculation!$C32,ControlSetup!$B$3:$B$30,0)),"")</f>
        <v/>
      </c>
      <c r="E32" s="21">
        <f>_xlfn.IFNA(INDEX(ControlSetup!D$3:$D$30,MATCH(Calculation!$C32,ControlSetup!$B$3:$B$30,0)),)</f>
        <v>0</v>
      </c>
      <c r="F32" s="21" t="str">
        <f>_xlfn.IFNA(INDEX(ControlSetup!$E$3:$E$30,MATCH(Calculation!$C32,ControlSetup!$B$3:$B$30,0)),"")</f>
        <v/>
      </c>
      <c r="G32" s="21" t="str">
        <f t="shared" si="1"/>
        <v/>
      </c>
      <c r="H32" s="21" t="str">
        <f t="shared" si="2"/>
        <v/>
      </c>
      <c r="J32" s="28">
        <f>IF(AND($P31=1,SUM(IF(FREQUENCY($G$4:$G31,$G$4:$G31)&gt;0,1))=10),2,1)</f>
        <v>1</v>
      </c>
      <c r="L32" s="21">
        <f>IF(AND($F32="R",$P31=1,COUNTIF($G$4:$G31,$C32)=0),1,0)</f>
        <v>0</v>
      </c>
      <c r="M32" s="21">
        <f>IF(AND($F32="C",$N31=1,COUNTIF($O$4:$O31,$C32)=0),1,0)</f>
        <v>0</v>
      </c>
      <c r="N32" s="21">
        <f t="shared" si="3"/>
        <v>0</v>
      </c>
      <c r="O32" s="21" t="str">
        <f t="shared" si="7"/>
        <v/>
      </c>
      <c r="P32" s="28">
        <f t="shared" si="8"/>
        <v>0</v>
      </c>
      <c r="R32" s="21">
        <f t="shared" si="10"/>
        <v>0</v>
      </c>
      <c r="S32" s="21">
        <f t="shared" si="9"/>
        <v>0</v>
      </c>
      <c r="U32" s="21" t="str">
        <f t="shared" si="0"/>
        <v>-</v>
      </c>
    </row>
    <row r="33" spans="2:21" x14ac:dyDescent="0.25">
      <c r="B33" s="21">
        <v>30</v>
      </c>
      <c r="C33" s="27"/>
      <c r="D33" s="22" t="str">
        <f>_xlfn.IFNA(INDEX(ControlSetup!$C$3:$C$30,MATCH(Calculation!$C33,ControlSetup!$B$3:$B$30,0)),"")</f>
        <v/>
      </c>
      <c r="E33" s="21">
        <f>_xlfn.IFNA(INDEX(ControlSetup!D$3:$D$30,MATCH(Calculation!$C33,ControlSetup!$B$3:$B$30,0)),)</f>
        <v>0</v>
      </c>
      <c r="F33" s="21" t="str">
        <f>_xlfn.IFNA(INDEX(ControlSetup!$E$3:$E$30,MATCH(Calculation!$C33,ControlSetup!$B$3:$B$30,0)),"")</f>
        <v/>
      </c>
      <c r="G33" s="21" t="str">
        <f t="shared" si="1"/>
        <v/>
      </c>
      <c r="H33" s="21" t="str">
        <f t="shared" si="2"/>
        <v/>
      </c>
      <c r="J33" s="28">
        <f>IF(AND($P32=1,SUM(IF(FREQUENCY($G$4:$G32,$G$4:$G32)&gt;0,1))=10),2,1)</f>
        <v>1</v>
      </c>
      <c r="L33" s="21">
        <f>IF(AND($F33="R",$P32=1,COUNTIF($G$4:$G32,$C33)=0),1,0)</f>
        <v>0</v>
      </c>
      <c r="M33" s="21">
        <f>IF(AND($F33="C",$N32=1,COUNTIF($O$4:$O32,$C33)=0),1,0)</f>
        <v>0</v>
      </c>
      <c r="N33" s="21">
        <f t="shared" si="3"/>
        <v>0</v>
      </c>
      <c r="O33" s="21" t="str">
        <f t="shared" si="7"/>
        <v/>
      </c>
      <c r="P33" s="28">
        <f t="shared" si="8"/>
        <v>0</v>
      </c>
      <c r="R33" s="21">
        <f t="shared" si="10"/>
        <v>0</v>
      </c>
      <c r="S33" s="21">
        <f t="shared" si="9"/>
        <v>0</v>
      </c>
      <c r="U33" s="21" t="str">
        <f t="shared" si="0"/>
        <v>-</v>
      </c>
    </row>
    <row r="34" spans="2:21" x14ac:dyDescent="0.25">
      <c r="B34" s="21">
        <v>31</v>
      </c>
      <c r="C34" s="27"/>
      <c r="D34" s="22" t="str">
        <f>_xlfn.IFNA(INDEX(ControlSetup!$C$3:$C$30,MATCH(Calculation!$C34,ControlSetup!$B$3:$B$30,0)),"")</f>
        <v/>
      </c>
      <c r="E34" s="21">
        <f>_xlfn.IFNA(INDEX(ControlSetup!D$3:$D$30,MATCH(Calculation!$C34,ControlSetup!$B$3:$B$30,0)),)</f>
        <v>0</v>
      </c>
      <c r="F34" s="21" t="str">
        <f>_xlfn.IFNA(INDEX(ControlSetup!$E$3:$E$30,MATCH(Calculation!$C34,ControlSetup!$B$3:$B$30,0)),"")</f>
        <v/>
      </c>
      <c r="G34" s="21" t="str">
        <f t="shared" si="1"/>
        <v/>
      </c>
      <c r="H34" s="21" t="str">
        <f t="shared" si="2"/>
        <v/>
      </c>
      <c r="J34" s="28">
        <f>IF(AND($P33=1,SUM(IF(FREQUENCY($G$4:$G33,$G$4:$G33)&gt;0,1))=10),2,1)</f>
        <v>1</v>
      </c>
      <c r="L34" s="21">
        <f>IF(AND($F34="R",$P33=1,COUNTIF($G$4:$G33,$C34)=0),1,0)</f>
        <v>0</v>
      </c>
      <c r="M34" s="21">
        <f>IF(AND($F34="C",$N33=1,COUNTIF($O$4:$O33,$C34)=0),1,0)</f>
        <v>0</v>
      </c>
      <c r="N34" s="21">
        <f t="shared" si="3"/>
        <v>0</v>
      </c>
      <c r="O34" s="21" t="str">
        <f t="shared" si="7"/>
        <v/>
      </c>
      <c r="P34" s="28">
        <f t="shared" si="8"/>
        <v>0</v>
      </c>
      <c r="R34" s="21">
        <f t="shared" si="10"/>
        <v>0</v>
      </c>
      <c r="S34" s="21">
        <f t="shared" si="9"/>
        <v>0</v>
      </c>
      <c r="U34" s="21" t="str">
        <f t="shared" si="0"/>
        <v>-</v>
      </c>
    </row>
    <row r="35" spans="2:21" x14ac:dyDescent="0.25">
      <c r="B35" s="21">
        <v>32</v>
      </c>
      <c r="C35" s="27"/>
      <c r="D35" s="22" t="str">
        <f>_xlfn.IFNA(INDEX(ControlSetup!$C$3:$C$30,MATCH(Calculation!$C35,ControlSetup!$B$3:$B$30,0)),"")</f>
        <v/>
      </c>
      <c r="E35" s="21">
        <f>_xlfn.IFNA(INDEX(ControlSetup!D$3:$D$30,MATCH(Calculation!$C35,ControlSetup!$B$3:$B$30,0)),)</f>
        <v>0</v>
      </c>
      <c r="F35" s="21" t="str">
        <f>_xlfn.IFNA(INDEX(ControlSetup!$E$3:$E$30,MATCH(Calculation!$C35,ControlSetup!$B$3:$B$30,0)),"")</f>
        <v/>
      </c>
      <c r="G35" s="21" t="str">
        <f t="shared" si="1"/>
        <v/>
      </c>
      <c r="H35" s="21" t="str">
        <f t="shared" si="2"/>
        <v/>
      </c>
      <c r="J35" s="28">
        <f>IF(AND($P34=1,SUM(IF(FREQUENCY($G$4:$G34,$G$4:$G34)&gt;0,1))=10),2,1)</f>
        <v>1</v>
      </c>
      <c r="L35" s="21">
        <f>IF(AND($F35="R",$P34=1,COUNTIF($G$4:$G34,$C35)=0),1,0)</f>
        <v>0</v>
      </c>
      <c r="M35" s="21">
        <f>IF(AND($F35="C",$N34=1,COUNTIF($O$4:$O34,$C35)=0),1,0)</f>
        <v>0</v>
      </c>
      <c r="N35" s="21">
        <f t="shared" si="3"/>
        <v>0</v>
      </c>
      <c r="O35" s="21" t="str">
        <f t="shared" si="7"/>
        <v/>
      </c>
      <c r="P35" s="28">
        <f t="shared" si="8"/>
        <v>0</v>
      </c>
      <c r="R35" s="21">
        <f t="shared" si="10"/>
        <v>0</v>
      </c>
      <c r="S35" s="21">
        <f t="shared" si="9"/>
        <v>0</v>
      </c>
      <c r="U35" s="21" t="str">
        <f t="shared" si="0"/>
        <v>-</v>
      </c>
    </row>
    <row r="36" spans="2:21" x14ac:dyDescent="0.25">
      <c r="B36" s="21">
        <v>33</v>
      </c>
      <c r="C36" s="27"/>
      <c r="D36" s="22" t="str">
        <f>_xlfn.IFNA(INDEX(ControlSetup!$C$3:$C$30,MATCH(Calculation!$C36,ControlSetup!$B$3:$B$30,0)),"")</f>
        <v/>
      </c>
      <c r="E36" s="21">
        <f>_xlfn.IFNA(INDEX(ControlSetup!D$3:$D$30,MATCH(Calculation!$C36,ControlSetup!$B$3:$B$30,0)),)</f>
        <v>0</v>
      </c>
      <c r="F36" s="21" t="str">
        <f>_xlfn.IFNA(INDEX(ControlSetup!$E$3:$E$30,MATCH(Calculation!$C36,ControlSetup!$B$3:$B$30,0)),"")</f>
        <v/>
      </c>
      <c r="G36" s="21" t="str">
        <f t="shared" si="1"/>
        <v/>
      </c>
      <c r="H36" s="21" t="str">
        <f t="shared" si="2"/>
        <v/>
      </c>
      <c r="J36" s="28">
        <f>IF(AND($P35=1,SUM(IF(FREQUENCY($G$4:$G35,$G$4:$G35)&gt;0,1))=10),2,1)</f>
        <v>1</v>
      </c>
      <c r="L36" s="21">
        <f>IF(AND($F36="R",$P35=1,COUNTIF($G$4:$G35,$C36)=0),1,0)</f>
        <v>0</v>
      </c>
      <c r="M36" s="21">
        <f>IF(AND($F36="C",$N35=1,COUNTIF($O$4:$O35,$C36)=0),1,0)</f>
        <v>0</v>
      </c>
      <c r="N36" s="21">
        <f t="shared" si="3"/>
        <v>0</v>
      </c>
      <c r="O36" s="21" t="str">
        <f t="shared" si="7"/>
        <v/>
      </c>
      <c r="P36" s="28">
        <f t="shared" si="8"/>
        <v>0</v>
      </c>
      <c r="R36" s="21">
        <f t="shared" si="10"/>
        <v>0</v>
      </c>
      <c r="S36" s="21">
        <f t="shared" si="9"/>
        <v>0</v>
      </c>
      <c r="U36" s="21" t="str">
        <f t="shared" si="0"/>
        <v>-</v>
      </c>
    </row>
    <row r="37" spans="2:21" x14ac:dyDescent="0.25">
      <c r="B37" s="21">
        <v>34</v>
      </c>
      <c r="C37" s="27"/>
      <c r="D37" s="22" t="str">
        <f>_xlfn.IFNA(INDEX(ControlSetup!$C$3:$C$30,MATCH(Calculation!$C37,ControlSetup!$B$3:$B$30,0)),"")</f>
        <v/>
      </c>
      <c r="E37" s="21">
        <f>_xlfn.IFNA(INDEX(ControlSetup!D$3:$D$30,MATCH(Calculation!$C37,ControlSetup!$B$3:$B$30,0)),)</f>
        <v>0</v>
      </c>
      <c r="F37" s="21" t="str">
        <f>_xlfn.IFNA(INDEX(ControlSetup!$E$3:$E$30,MATCH(Calculation!$C37,ControlSetup!$B$3:$B$30,0)),"")</f>
        <v/>
      </c>
      <c r="G37" s="21" t="str">
        <f t="shared" si="1"/>
        <v/>
      </c>
      <c r="H37" s="21" t="str">
        <f t="shared" si="2"/>
        <v/>
      </c>
      <c r="J37" s="28">
        <f>IF(AND($P36=1,SUM(IF(FREQUENCY($G$4:$G36,$G$4:$G36)&gt;0,1))=10),2,1)</f>
        <v>1</v>
      </c>
      <c r="L37" s="21">
        <f>IF(AND($F37="R",$P36=1,COUNTIF($G$4:$G36,$C37)=0),1,0)</f>
        <v>0</v>
      </c>
      <c r="M37" s="21">
        <f>IF(AND($F37="C",$N36=1,COUNTIF($O$4:$O36,$C37)=0),1,0)</f>
        <v>0</v>
      </c>
      <c r="N37" s="21">
        <f t="shared" si="3"/>
        <v>0</v>
      </c>
      <c r="O37" s="21" t="str">
        <f t="shared" si="7"/>
        <v/>
      </c>
      <c r="P37" s="28">
        <f t="shared" si="8"/>
        <v>0</v>
      </c>
      <c r="R37" s="21">
        <f t="shared" si="10"/>
        <v>0</v>
      </c>
      <c r="S37" s="21">
        <f t="shared" si="9"/>
        <v>0</v>
      </c>
      <c r="U37" s="21" t="str">
        <f t="shared" ref="U37:U38" si="11">IF(C37&lt;&gt;"",IF(OR(AND($J37=1,SUM(L37:M37)=1),AND($J37=2,$R37=1)),E37,0),"-")</f>
        <v>-</v>
      </c>
    </row>
    <row r="38" spans="2:21" x14ac:dyDescent="0.25">
      <c r="B38" s="21">
        <v>35</v>
      </c>
      <c r="C38" s="27"/>
      <c r="D38" s="22" t="str">
        <f>_xlfn.IFNA(INDEX(ControlSetup!$C$3:$C$30,MATCH(Calculation!$C38,ControlSetup!$B$3:$B$30,0)),"")</f>
        <v/>
      </c>
      <c r="E38" s="21">
        <f>_xlfn.IFNA(INDEX(ControlSetup!D$3:$D$30,MATCH(Calculation!$C38,ControlSetup!$B$3:$B$30,0)),)</f>
        <v>0</v>
      </c>
      <c r="F38" s="21" t="str">
        <f>_xlfn.IFNA(INDEX(ControlSetup!$E$3:$E$30,MATCH(Calculation!$C38,ControlSetup!$B$3:$B$30,0)),"")</f>
        <v/>
      </c>
      <c r="G38" s="21" t="str">
        <f t="shared" si="1"/>
        <v/>
      </c>
      <c r="H38" s="21" t="str">
        <f t="shared" si="2"/>
        <v/>
      </c>
      <c r="J38" s="28">
        <f>IF(AND($P37=1,SUM(IF(FREQUENCY($G$4:$G37,$G$4:$G37)&gt;0,1))=10),2,1)</f>
        <v>1</v>
      </c>
      <c r="L38" s="21">
        <f>IF(AND($F38="R",$P37=1,COUNTIF($G$4:$G37,$C38)=0),1,0)</f>
        <v>0</v>
      </c>
      <c r="M38" s="21">
        <f>IF(AND($F38="C",$N37=1,COUNTIF($O$4:$O37,$C38)=0),1,0)</f>
        <v>0</v>
      </c>
      <c r="N38" s="21">
        <f t="shared" si="3"/>
        <v>0</v>
      </c>
      <c r="O38" s="21" t="str">
        <f t="shared" si="7"/>
        <v/>
      </c>
      <c r="P38" s="28">
        <f t="shared" si="8"/>
        <v>0</v>
      </c>
      <c r="R38" s="21">
        <f t="shared" si="10"/>
        <v>0</v>
      </c>
      <c r="S38" s="21">
        <f t="shared" si="9"/>
        <v>0</v>
      </c>
      <c r="U38" s="21" t="str">
        <f t="shared" si="11"/>
        <v>-</v>
      </c>
    </row>
  </sheetData>
  <sheetProtection selectLockedCells="1"/>
  <mergeCells count="1">
    <mergeCell ref="L2:O2"/>
  </mergeCells>
  <conditionalFormatting sqref="L4:M38">
    <cfRule type="cellIs" dxfId="2" priority="3" operator="equal">
      <formula>1</formula>
    </cfRule>
  </conditionalFormatting>
  <conditionalFormatting sqref="R4:T38">
    <cfRule type="cellIs" dxfId="1" priority="2" operator="equal">
      <formula>1</formula>
    </cfRule>
  </conditionalFormatting>
  <conditionalFormatting sqref="U4:U38">
    <cfRule type="cellIs" dxfId="0" priority="1" operator="greaterThan">
      <formula>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Results</vt:lpstr>
      <vt:lpstr>ControlSetup</vt:lpstr>
      <vt:lpstr>Rules</vt:lpstr>
      <vt:lpstr>Calculation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Sullivan</dc:creator>
  <cp:lastModifiedBy>Daniel Sullivan</cp:lastModifiedBy>
  <cp:lastPrinted>2018-07-12T21:07:32Z</cp:lastPrinted>
  <dcterms:created xsi:type="dcterms:W3CDTF">2018-04-20T09:15:38Z</dcterms:created>
  <dcterms:modified xsi:type="dcterms:W3CDTF">2018-07-14T06:46:01Z</dcterms:modified>
</cp:coreProperties>
</file>